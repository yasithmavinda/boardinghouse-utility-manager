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0.xml" ContentType="application/vnd.openxmlformats-officedocument.spreadsheetml.worksheet+xml"/>
  <Override PartName="/xl/tables/table15.xml" ContentType="application/vnd.openxmlformats-officedocument.spreadsheetml.table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mbers" sheetId="2" state="visible" r:id="rId2"/>
    <sheet name="Monthly_Collections" sheetId="3" state="visible" r:id="rId3"/>
    <sheet name="Utility_Bills" sheetId="4" state="visible" r:id="rId4"/>
    <sheet name="Monthly_Summary" sheetId="5" state="visible" r:id="rId5"/>
    <sheet name="Payment_Tracker" sheetId="6" state="visible" r:id="rId6"/>
    <sheet name="Expense_History" sheetId="7" state="visible" r:id="rId7"/>
    <sheet name="Analytics" sheetId="8" state="visible" r:id="rId8"/>
    <sheet name="Reports" sheetId="9" state="visible" r:id="rId9"/>
    <sheet name="Settings" sheetId="10" state="visible" r:id="rId10"/>
    <sheet name="Help" sheetId="11" state="visible" r:id="rId11"/>
  </sheets>
  <definedNames>
    <definedName name="cfg_Currency">Settings!$D$5</definedName>
    <definedName name="cfg_DefaultContribution">Settings!$D$6</definedName>
    <definedName name="cfg_FinancialYear">Settings!$D$7</definedName>
    <definedName name="cfg_StartMonth">Settings!$D$8</definedName>
    <definedName name="cfg_MaxMembers">Settings!$D$9</definedName>
    <definedName name="cfg_Theme">Settings!$D$10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s. #,##0.00"/>
    <numFmt numFmtId="165" formatCode="YYYY-MM-DD"/>
    <numFmt numFmtId="166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1B365D"/>
      <sz val="10"/>
    </font>
    <font>
      <name val="Segoe UI"/>
      <b val="1"/>
      <color rgb="00595959"/>
      <sz val="9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FFFFFF"/>
      <sz val="15"/>
    </font>
    <font>
      <name val="Segoe UI"/>
      <b val="1"/>
      <color rgb="001B365D"/>
      <sz val="11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FFFFFF"/>
      <sz val="14"/>
    </font>
    <font>
      <name val="Segoe UI"/>
      <b val="1"/>
      <color rgb="001B365D"/>
      <sz val="10"/>
    </font>
    <font>
      <name val="Segoe UI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DEBF7"/>
        <bgColor rgb="00DDEBF7"/>
      </patternFill>
    </fill>
    <fill>
      <patternFill patternType="solid">
        <fgColor rgb="00F2F6FA"/>
        <bgColor rgb="00F2F6FA"/>
      </patternFill>
    </fill>
    <fill>
      <patternFill patternType="solid">
        <fgColor rgb="00F9FAFB"/>
        <bgColor rgb="00F9FAFB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0" fillId="0" borderId="4" pivotButton="0" quotePrefix="0" xfId="0"/>
    <xf numFmtId="3" fontId="6" fillId="5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center" vertical="center"/>
    </xf>
    <xf numFmtId="49" fontId="6" fillId="5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164" fontId="10" fillId="5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0" fontId="6" fillId="5" borderId="1" applyAlignment="1" applyProtection="1" pivotButton="0" quotePrefix="0" xfId="0">
      <alignment horizontal="left" vertical="center"/>
      <protection locked="0" hidden="0"/>
    </xf>
    <xf numFmtId="0" fontId="6" fillId="5" borderId="1" applyAlignment="1" applyProtection="1" pivotButton="0" quotePrefix="0" xfId="0">
      <alignment horizontal="center" vertical="center"/>
      <protection locked="0" hidden="0"/>
    </xf>
    <xf numFmtId="165" fontId="6" fillId="5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4" fillId="4" borderId="1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5" fillId="2" borderId="1" applyAlignment="1" applyProtection="1" pivotButton="0" quotePrefix="0" xfId="0">
      <alignment horizontal="center" vertical="center"/>
      <protection locked="0" hidden="0"/>
    </xf>
    <xf numFmtId="49" fontId="6" fillId="5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right" vertical="center"/>
      <protection locked="0" hidden="0"/>
    </xf>
    <xf numFmtId="49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right" vertical="center"/>
      <protection locked="0" hidden="0"/>
    </xf>
    <xf numFmtId="3" fontId="6" fillId="5" borderId="1" applyAlignment="1" applyProtection="1" pivotButton="0" quotePrefix="0" xfId="0">
      <alignment horizontal="right" vertical="center"/>
      <protection locked="0" hidden="0"/>
    </xf>
    <xf numFmtId="0" fontId="11" fillId="2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  <xf numFmtId="0" fontId="0" fillId="0" borderId="5" pivotButton="0" quotePrefix="0" xfId="0"/>
  </cellXfs>
  <cellStyles count="1">
    <cellStyle name="Normal" xfId="0" builtinId="0" hidden="0"/>
  </cellStyles>
  <dxfs count="4">
    <dxf>
      <font>
        <name val="Segoe UI"/>
        <b val="1"/>
        <color rgb="00C65911"/>
        <sz val="10"/>
      </font>
      <fill>
        <patternFill patternType="solid">
          <fgColor rgb="00FCE4D6"/>
          <bgColor rgb="00FCE4D6"/>
        </patternFill>
      </fill>
    </dxf>
    <dxf>
      <font>
        <name val="Segoe UI"/>
        <b val="1"/>
        <color rgb="007F6000"/>
        <sz val="10"/>
      </font>
      <fill>
        <patternFill patternType="solid">
          <fgColor rgb="00FFF2CC"/>
          <bgColor rgb="00FFF2CC"/>
        </patternFill>
      </fill>
    </dxf>
    <dxf>
      <font>
        <name val="Segoe UI"/>
        <b val="1"/>
        <color rgb="00375623"/>
        <sz val="10"/>
      </font>
      <fill>
        <patternFill patternType="solid">
          <fgColor rgb="00E2EFDA"/>
          <bgColor rgb="00E2EFDA"/>
        </patternFill>
      </fill>
    </dxf>
    <dxf>
      <font>
        <name val="Segoe UI"/>
        <b val="1"/>
        <color rgb="0060497A"/>
        <sz val="10"/>
      </font>
      <fill>
        <patternFill patternType="solid">
          <fgColor rgb="00E1D5E7"/>
          <bgColor rgb="00E1D5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Collections (Expected vs Actual)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'Monthly_Summary'!B4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'Monthly_Summary'!$A$5:$A$16</f>
            </numRef>
          </cat>
          <val>
            <numRef>
              <f>'Monthly_Summary'!$B$5:$B$16</f>
            </numRef>
          </val>
        </ser>
        <ser>
          <idx val="1"/>
          <order val="1"/>
          <tx>
            <strRef>
              <f>'Monthly_Summary'!C4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'Monthly_Summary'!$A$5:$A$16</f>
            </numRef>
          </cat>
          <val>
            <numRef>
              <f>'Monthly_Summary'!$C$5:$C$16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(LKR)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Utility Expenses Breakdown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'Monthly_Summary'!D4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'Monthly_Summary'!$A$5:$A$16</f>
            </numRef>
          </cat>
          <val>
            <numRef>
              <f>'Monthly_Summary'!$D$5:$D$16</f>
            </numRef>
          </val>
        </ser>
        <ser>
          <idx val="1"/>
          <order val="1"/>
          <tx>
            <strRef>
              <f>'Monthly_Summary'!E4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'Monthly_Summary'!$A$5:$A$16</f>
            </numRef>
          </cat>
          <val>
            <numRef>
              <f>'Monthly_Summary'!$E$5:$E$16</f>
            </numRef>
          </val>
        </ser>
        <ser>
          <idx val="2"/>
          <order val="2"/>
          <tx>
            <strRef>
              <f>'Monthly_Summary'!F4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'Monthly_Summary'!$A$5:$A$16</f>
            </numRef>
          </cat>
          <val>
            <numRef>
              <f>'Monthly_Summary'!$F$5:$F$16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(LKR)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Carry Forward Cashflow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'Monthly_Summary'!J4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'Monthly_Summary'!$A$5:$A$16</f>
            </numRef>
          </cat>
          <val>
            <numRef>
              <f>'Monthly_Summary'!$J$5:$J$16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Balance (LKR)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Outstanding Deficits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'Monthly_Summary'!I4</f>
            </strRef>
          </tx>
          <spPr>
            <a:ln>
              <a:prstDash val="solid"/>
            </a:ln>
          </spPr>
          <cat>
            <numRef>
              <f>'Monthly_Summary'!$A$5:$A$16</f>
            </numRef>
          </cat>
          <val>
            <numRef>
              <f>'Monthly_Summary'!$I$5:$I$16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Deficit Amount (LKR)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Payment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'Dashboard'!Q4</f>
            </strRef>
          </tx>
          <spPr>
            <a:ln>
              <a:prstDash val="solid"/>
            </a:ln>
          </spPr>
          <cat>
            <numRef>
              <f>'Dashboard'!$P$5:$P$8</f>
            </numRef>
          </cat>
          <val>
            <numRef>
              <f>'Dashboard'!$Q$5:$Q$8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Cashflow (Income vs Expenses)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'Monthly_Summary'!C4</f>
            </strRef>
          </tx>
          <spPr>
            <a:ln>
              <a:prstDash val="solid"/>
            </a:ln>
          </spPr>
          <cat>
            <numRef>
              <f>'Monthly_Summary'!$A$5:$A$16</f>
            </numRef>
          </cat>
          <val>
            <numRef>
              <f>'Monthly_Summary'!$C$5:$C$16</f>
            </numRef>
          </val>
        </ser>
        <ser>
          <idx val="1"/>
          <order val="1"/>
          <tx>
            <strRef>
              <f>'Monthly_Summary'!G4</f>
            </strRef>
          </tx>
          <spPr>
            <a:ln>
              <a:prstDash val="solid"/>
            </a:ln>
          </spPr>
          <cat>
            <numRef>
              <f>'Monthly_Summary'!$A$5:$A$16</f>
            </numRef>
          </cat>
          <val>
            <numRef>
              <f>'Monthly_Summary'!$G$5:$G$16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(LKR)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Cashflow Trends</a:t>
            </a:r>
          </a:p>
        </rich>
      </tx>
    </title>
    <plotArea>
      <lineChart>
        <grouping val="standard"/>
        <ser>
          <idx val="0"/>
          <order val="0"/>
          <tx>
            <strRef>
              <f>'Expense_History'!L4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'Expense_History'!$K$5:$K$16</f>
            </numRef>
          </cat>
          <val>
            <numRef>
              <f>'Expense_History'!$L$5:$L$16</f>
            </numRef>
          </val>
        </ser>
        <ser>
          <idx val="1"/>
          <order val="1"/>
          <tx>
            <strRef>
              <f>'Expense_History'!M4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'Expense_History'!$K$5:$K$16</f>
            </numRef>
          </cat>
          <val>
            <numRef>
              <f>'Expense_History'!$M$5:$M$16</f>
            </numRef>
          </val>
        </ser>
        <ser>
          <idx val="2"/>
          <order val="2"/>
          <tx>
            <strRef>
              <f>'Expense_History'!N4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'Expense_History'!$K$5:$K$16</f>
            </numRef>
          </cat>
          <val>
            <numRef>
              <f>'Expense_History'!$N$5:$N$16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(LKR)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Carry Forward Cash Balance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'Expense_History'!O4</f>
            </strRef>
          </tx>
          <spPr>
            <a:ln>
              <a:prstDash val="solid"/>
            </a:ln>
          </spPr>
          <cat>
            <numRef>
              <f>'Expense_History'!$K$5:$K$16</f>
            </numRef>
          </cat>
          <val>
            <numRef>
              <f>'Expense_History'!$O$5:$O$16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Balance (LKR)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Outstanding Balance Deficits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'Monthly_Summary'!I4</f>
            </strRef>
          </tx>
          <spPr>
            <a:ln>
              <a:prstDash val="solid"/>
            </a:ln>
          </spPr>
          <cat>
            <numRef>
              <f>'Monthly_Summary'!$A$5:$A$16</f>
            </numRef>
          </cat>
          <val>
            <numRef>
              <f>'Monthly_Summary'!$I$5:$I$16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Deficit Amount (LKR)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Collection Trends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'Monthly_Summary'!C4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'Monthly_Summary'!$A$5:$A$16</f>
            </numRef>
          </cat>
          <val>
            <numRef>
              <f>'Monthly_Summary'!$C$5:$C$16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Collections (LKR)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Roommate Payments &amp; Dues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'Analytics'!C8</f>
            </strRef>
          </tx>
          <spPr>
            <a:ln>
              <a:prstDash val="solid"/>
            </a:ln>
          </spPr>
          <cat>
            <numRef>
              <f>'Analytics'!$B$9:$B$19</f>
            </numRef>
          </cat>
          <val>
            <numRef>
              <f>'Analytics'!$C$9:$C$19</f>
            </numRef>
          </val>
        </ser>
        <ser>
          <idx val="1"/>
          <order val="1"/>
          <tx>
            <strRef>
              <f>'Analytics'!D8</f>
            </strRef>
          </tx>
          <spPr>
            <a:ln>
              <a:prstDash val="solid"/>
            </a:ln>
          </spPr>
          <cat>
            <numRef>
              <f>'Analytics'!$B$9:$B$19</f>
            </numRef>
          </cat>
          <val>
            <numRef>
              <f>'Analytics'!$D$9:$D$19</f>
            </numRef>
          </val>
        </ser>
        <ser>
          <idx val="2"/>
          <order val="2"/>
          <tx>
            <strRef>
              <f>'Analytics'!E8</f>
            </strRef>
          </tx>
          <spPr>
            <a:ln>
              <a:prstDash val="solid"/>
            </a:ln>
          </spPr>
          <cat>
            <numRef>
              <f>'Analytics'!$B$9:$B$19</f>
            </numRef>
          </cat>
          <val>
            <numRef>
              <f>'Analytics'!$E$9:$E$19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Roommate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(LKR)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0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504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11</row>
      <rowOff>0</rowOff>
    </from>
    <ext cx="504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27</row>
      <rowOff>0</rowOff>
    </from>
    <ext cx="504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27</row>
      <rowOff>0</rowOff>
    </from>
    <ext cx="504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27</row>
      <rowOff>0</rowOff>
    </from>
    <ext cx="5040000" cy="30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7</row>
      <rowOff>0</rowOff>
    </from>
    <ext cx="50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20</row>
      <rowOff>0</rowOff>
    </from>
    <ext cx="504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20</row>
      <rowOff>0</rowOff>
    </from>
    <ext cx="504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embers" displayName="tbl_Members" ref="A4:H15" headerRowCount="1">
  <autoFilter ref="A4:H15"/>
  <tableColumns count="8">
    <tableColumn id="1" name="Member ID"/>
    <tableColumn id="2" name="Full Name"/>
    <tableColumn id="3" name="Room Number"/>
    <tableColumn id="4" name="Phone Number"/>
    <tableColumn id="5" name="Status"/>
    <tableColumn id="6" name="Join Date"/>
    <tableColumn id="7" name="Leave Date"/>
    <tableColumn id="8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Collections" displayName="tbl_Collections" ref="A8:K19" headerRowCount="1">
  <autoFilter ref="A8:K19"/>
  <tableColumns count="11">
    <tableColumn id="1" name="Month"/>
    <tableColumn id="2" name="Member"/>
    <tableColumn id="3" name="Standard Contribution"/>
    <tableColumn id="4" name="Extra Contribution"/>
    <tableColumn id="5" name="Advance Payment"/>
    <tableColumn id="6" name="Partial Payment"/>
    <tableColumn id="7" name="Total Paid"/>
    <tableColumn id="8" name="Outstanding Balance"/>
    <tableColumn id="9" name="Payment Date"/>
    <tableColumn id="10" name="Payment Status"/>
    <tableColumn id="11" name="Remark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UtilityBills" displayName="tbl_UtilityBills" ref="A4:K16" headerRowCount="1">
  <autoFilter ref="A4:K16"/>
  <tableColumns count="11">
    <tableColumn id="1" name="Month"/>
    <tableColumn id="2" name="Water Bill"/>
    <tableColumn id="3" name="Electricity Bill"/>
    <tableColumn id="4" name="Internet"/>
    <tableColumn id="5" name="Gas"/>
    <tableColumn id="6" name="Cleaning"/>
    <tableColumn id="7" name="Other Expenses"/>
    <tableColumn id="8" name="Total Expenses"/>
    <tableColumn id="9" name="Bill Paid Date"/>
    <tableColumn id="10" name="Paid By"/>
    <tableColumn id="11" name="Remark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MonthlySummary" displayName="tbl_MonthlySummary" ref="A4:K16" headerRowCount="1">
  <autoFilter ref="A4:K16"/>
  <tableColumns count="11">
    <tableColumn id="1" name="Month"/>
    <tableColumn id="2" name="Expected Collection"/>
    <tableColumn id="3" name="Actual Collection"/>
    <tableColumn id="4" name="Water Bills"/>
    <tableColumn id="5" name="Electricity Bills"/>
    <tableColumn id="6" name="Other Expenses"/>
    <tableColumn id="7" name="Total Expenses"/>
    <tableColumn id="8" name="Surplus"/>
    <tableColumn id="9" name="Deficit"/>
    <tableColumn id="10" name="Carry Forward"/>
    <tableColumn id="11" name="Remark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PaymentTracker" displayName="tbl_PaymentTracker" ref="A4:M16" headerRowCount="1">
  <autoFilter ref="A4:M16"/>
  <tableColumns count="13">
    <tableColumn id="1" name="Member Name"/>
    <tableColumn id="2" name="April"/>
    <tableColumn id="3" name="May"/>
    <tableColumn id="4" name="June"/>
    <tableColumn id="5" name="July"/>
    <tableColumn id="6" name="August"/>
    <tableColumn id="7" name="September"/>
    <tableColumn id="8" name="October"/>
    <tableColumn id="9" name="November"/>
    <tableColumn id="10" name="December"/>
    <tableColumn id="11" name="January"/>
    <tableColumn id="12" name="February"/>
    <tableColumn id="13" name="March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_ExpenseHistory" displayName="tbl_ExpenseHistory" ref="A4:I15" headerRowCount="1">
  <autoFilter ref="A4:I15"/>
  <tableColumns count="9">
    <tableColumn id="1" name="Expense ID"/>
    <tableColumn id="2" name="Date"/>
    <tableColumn id="3" name="Month"/>
    <tableColumn id="4" name="Category"/>
    <tableColumn id="5" name="Description"/>
    <tableColumn id="6" name="Amount (LKR)"/>
    <tableColumn id="7" name="Paid To"/>
    <tableColumn id="8" name="Payment Method"/>
    <tableColumn id="9" name="Reference N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_ExpenseSummary" displayName="tbl_ExpenseSummary" ref="K4:O16" headerRowCount="1">
  <autoFilter ref="K4:O16"/>
  <tableColumns count="5">
    <tableColumn id="11" name="Year-Month"/>
    <tableColumn id="12" name="Total Collections"/>
    <tableColumn id="13" name="Total Expenses"/>
    <tableColumn id="14" name="Difference"/>
    <tableColumn id="15" name="Carry Forward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_MemberAnalytics" displayName="tbl_MemberAnalytics" ref="B8:E19" headerRowCount="1">
  <autoFilter ref="B8:E19"/>
  <tableColumns count="4">
    <tableColumn id="2" name="Member Name"/>
    <tableColumn id="3" name="Total Rent Paid"/>
    <tableColumn id="4" name="Total Utilities Paid"/>
    <tableColumn id="5" name="Outstanding Balanc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_RptCollections" displayName="tbl_RptCollections" ref="B4:G16" headerRowCount="1">
  <autoFilter ref="B4:G16"/>
  <tableColumns count="6">
    <tableColumn id="2" name="Month"/>
    <tableColumn id="3" name="Member Name"/>
    <tableColumn id="4" name="Rent Due"/>
    <tableColumn id="5" name="Utilities Due"/>
    <tableColumn id="6" name="Total Paid"/>
    <tableColumn id="7" name="Outstandin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_RptExpenses" displayName="tbl_RptExpenses" ref="B19:G31" headerRowCount="1">
  <autoFilter ref="B19:G31"/>
  <tableColumns count="6">
    <tableColumn id="2" name="Month"/>
    <tableColumn id="3" name="Water Bill"/>
    <tableColumn id="4" name="Electricity Bill"/>
    <tableColumn id="5" name="Internet Share"/>
    <tableColumn id="6" name="Cleaning &amp; Gas"/>
    <tableColumn id="7" name="Total Expens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_RptOutstanding" displayName="tbl_RptOutstanding" ref="B34:G46" headerRowCount="1">
  <autoFilter ref="B34:G46"/>
  <tableColumns count="6">
    <tableColumn id="2" name="Month"/>
    <tableColumn id="3" name="Member Name"/>
    <tableColumn id="4" name="Expected Amount"/>
    <tableColumn id="5" name="Total Paid"/>
    <tableColumn id="6" name="Outstanding Balance"/>
    <tableColumn id="7" name="Statu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bl_RptYearly" displayName="tbl_RptYearly" ref="B49:G61" headerRowCount="1">
  <autoFilter ref="B49:G61"/>
  <tableColumns count="6">
    <tableColumn id="2" name="Month"/>
    <tableColumn id="3" name="Expected Collection"/>
    <tableColumn id="4" name="Actual Collection"/>
    <tableColumn id="5" name="Total Expenses"/>
    <tableColumn id="6" name="Net Diff (Surplus/Def)"/>
    <tableColumn id="7" name="Carry Forward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bl_RptStatement" displayName="tbl_RptStatement" ref="B64:G76" headerRowCount="1">
  <autoFilter ref="B64:G76"/>
  <tableColumns count="6">
    <tableColumn id="2" name="Month"/>
    <tableColumn id="3" name="Member Name"/>
    <tableColumn id="4" name="Rent Paid"/>
    <tableColumn id="5" name="Utility Paid"/>
    <tableColumn id="6" name="Total Paid"/>
    <tableColumn id="7" name="Payment Dat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_RptExpenseLog" displayName="tbl_RptExpenseLog" ref="B79:G90" headerRowCount="1">
  <autoFilter ref="B79:G90"/>
  <tableColumns count="6">
    <tableColumn id="2" name="Expense ID"/>
    <tableColumn id="3" name="Date"/>
    <tableColumn id="4" name="Category"/>
    <tableColumn id="5" name="Description"/>
    <tableColumn id="6" name="Amount"/>
    <tableColumn id="7" name="Paid T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bl_Settings" displayName="tbl_Settings" ref="B4:E12" headerRowCount="1">
  <autoFilter ref="B4:E12"/>
  <tableColumns count="4">
    <tableColumn id="2" name="Setting_ID"/>
    <tableColumn id="3" name="Parameter_Name"/>
    <tableColumn id="4" name="Setting_Value"/>
    <tableColumn id="5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8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Relationship Type="http://schemas.openxmlformats.org/officeDocument/2006/relationships/table" Target="/xl/tables/table14.xml" Id="rId6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2" customWidth="1" min="17" max="17"/>
  </cols>
  <sheetData>
    <row r="1" ht="40" customHeight="1">
      <c r="A1" s="1" t="inlineStr">
        <is>
          <t>BOARDING HOUSE UTILITY MANAGEMENT SYSTEM - FINANCIAL DASHBOARD</t>
        </is>
      </c>
    </row>
    <row r="2" ht="24" customHeight="1">
      <c r="A2" s="2" t="inlineStr">
        <is>
          <t>Visual overview of collections, utility expenditures, active roommates, net savings, and cash flows</t>
        </is>
      </c>
    </row>
    <row r="3" ht="15" customHeight="1"/>
    <row r="4" ht="18" customHeight="1">
      <c r="B4" s="3" t="inlineStr">
        <is>
          <t>CURRENT MONTH</t>
        </is>
      </c>
      <c r="C4" s="18" t="n"/>
      <c r="D4" s="3" t="inlineStr">
        <is>
          <t>TOTAL MEMBERS</t>
        </is>
      </c>
      <c r="E4" s="18" t="n"/>
      <c r="F4" s="3" t="inlineStr">
        <is>
          <t>PAID MEMBERS</t>
        </is>
      </c>
      <c r="G4" s="18" t="n"/>
      <c r="H4" s="3" t="inlineStr">
        <is>
          <t>UNPAID MEMBERS</t>
        </is>
      </c>
      <c r="I4" s="18" t="n"/>
      <c r="J4" s="3" t="inlineStr">
        <is>
          <t>EXPECTED COLLECTION</t>
        </is>
      </c>
      <c r="K4" s="18" t="n"/>
      <c r="L4" s="3" t="inlineStr">
        <is>
          <t>COLLECTED AMOUNT</t>
        </is>
      </c>
      <c r="M4" s="18" t="n"/>
      <c r="N4" s="3" t="inlineStr">
        <is>
          <t>COLLECTION RATE %</t>
        </is>
      </c>
      <c r="O4" s="18" t="n"/>
      <c r="P4" s="7" t="inlineStr">
        <is>
          <t>Status</t>
        </is>
      </c>
      <c r="Q4" s="7" t="inlineStr">
        <is>
          <t>Count</t>
        </is>
      </c>
    </row>
    <row r="5" ht="20" customHeight="1">
      <c r="B5" s="23">
        <f>TEXT(TODAY(), "MMMM YYYY")</f>
        <v/>
      </c>
      <c r="C5" s="18" t="n"/>
      <c r="D5" s="6">
        <f>COUNTIF(tbl_Members[Status], "Active")+COUNTIF(tbl_Members[Status], "Inactive")</f>
        <v/>
      </c>
      <c r="E5" s="18" t="n"/>
      <c r="F5" s="6">
        <f>COUNTIF(tbl_Collections[Status], "Paid")+COUNTIF(tbl_Collections[Status], "Late")</f>
        <v/>
      </c>
      <c r="G5" s="18" t="n"/>
      <c r="H5" s="6">
        <f>COUNTIF(tbl_Collections[Status], "Not Paid")</f>
        <v/>
      </c>
      <c r="I5" s="18" t="n"/>
      <c r="J5" s="5">
        <f>SUM(tbl_MonthlySummary[Expected Collection])</f>
        <v/>
      </c>
      <c r="K5" s="18" t="n"/>
      <c r="L5" s="5">
        <f>SUM(tbl_MonthlySummary[Actual Collection])</f>
        <v/>
      </c>
      <c r="M5" s="18" t="n"/>
      <c r="N5" s="20">
        <f>IF(J5=0, 0, L5/J5)</f>
        <v/>
      </c>
      <c r="O5" s="18" t="n"/>
      <c r="P5" s="14" t="inlineStr">
        <is>
          <t>Paid</t>
        </is>
      </c>
      <c r="Q5" s="19">
        <f>COUNTIF(tbl_Collections[Status], "Paid")</f>
        <v/>
      </c>
    </row>
    <row r="6" ht="20" customHeight="1">
      <c r="P6" s="15" t="inlineStr">
        <is>
          <t>Partial</t>
        </is>
      </c>
      <c r="Q6" s="24">
        <f>COUNTIF(tbl_Collections[Status], "Partial")</f>
        <v/>
      </c>
    </row>
    <row r="7" ht="20" customHeight="1">
      <c r="B7" s="3" t="inlineStr">
        <is>
          <t>OUTSTANDING AMOUNT</t>
        </is>
      </c>
      <c r="C7" s="18" t="n"/>
      <c r="D7" s="3" t="inlineStr">
        <is>
          <t>WATER EXPENSES</t>
        </is>
      </c>
      <c r="E7" s="18" t="n"/>
      <c r="F7" s="3" t="inlineStr">
        <is>
          <t>ELECTRICITY EXPENSES</t>
        </is>
      </c>
      <c r="G7" s="18" t="n"/>
      <c r="H7" s="3" t="inlineStr">
        <is>
          <t>TOTAL EXPENSES</t>
        </is>
      </c>
      <c r="I7" s="18" t="n"/>
      <c r="J7" s="3" t="inlineStr">
        <is>
          <t>CARRY FORWARD BALANCE</t>
        </is>
      </c>
      <c r="K7" s="18" t="n"/>
      <c r="L7" s="3" t="inlineStr">
        <is>
          <t>NET SAVINGS BALANCE</t>
        </is>
      </c>
      <c r="M7" s="18" t="n"/>
      <c r="P7" s="14" t="inlineStr">
        <is>
          <t>Not Paid</t>
        </is>
      </c>
      <c r="Q7" s="19">
        <f>COUNTIF(tbl_Collections[Status], "Not Paid")</f>
        <v/>
      </c>
    </row>
    <row r="8" ht="20" customHeight="1">
      <c r="B8" s="5">
        <f>SUM(tbl_Collections[Outstanding Balance])</f>
        <v/>
      </c>
      <c r="C8" s="18" t="n"/>
      <c r="D8" s="5">
        <f>SUM(tbl_MonthlySummary[Water Bills])</f>
        <v/>
      </c>
      <c r="E8" s="18" t="n"/>
      <c r="F8" s="5">
        <f>SUM(tbl_MonthlySummary[Electricity Bills])</f>
        <v/>
      </c>
      <c r="G8" s="18" t="n"/>
      <c r="H8" s="5">
        <f>SUM(tbl_MonthlySummary[Total Expenses])</f>
        <v/>
      </c>
      <c r="I8" s="18" t="n"/>
      <c r="J8" s="5">
        <f>Monthly_Summary!$J$16</f>
        <v/>
      </c>
      <c r="K8" s="18" t="n"/>
      <c r="L8" s="5">
        <f>L5-H8</f>
        <v/>
      </c>
      <c r="M8" s="18" t="n"/>
      <c r="P8" s="15" t="inlineStr">
        <is>
          <t>Late</t>
        </is>
      </c>
      <c r="Q8" s="24">
        <f>COUNTIF(tbl_Collections[Status], "Late")</f>
        <v/>
      </c>
    </row>
    <row r="9" ht="15" customHeight="1"/>
    <row r="10" ht="26" customHeight="1">
      <c r="B10" s="1" t="inlineStr">
        <is>
          <t>FINANCIAL TRENDS &amp; ANALYTICS OVERVIEW</t>
        </is>
      </c>
    </row>
    <row r="11" ht="15" customHeight="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9">
    <mergeCell ref="F4:G4"/>
    <mergeCell ref="B10:Q10"/>
    <mergeCell ref="L7:M7"/>
    <mergeCell ref="B7:C7"/>
    <mergeCell ref="J5:K5"/>
    <mergeCell ref="H4:I4"/>
    <mergeCell ref="F7:G7"/>
    <mergeCell ref="A2:O2"/>
    <mergeCell ref="F5:G5"/>
    <mergeCell ref="L5:M5"/>
    <mergeCell ref="N5:O5"/>
    <mergeCell ref="L8:M8"/>
    <mergeCell ref="B8:C8"/>
    <mergeCell ref="F8:G8"/>
    <mergeCell ref="J4:K4"/>
    <mergeCell ref="L4:M4"/>
    <mergeCell ref="D7:E7"/>
    <mergeCell ref="H7:I7"/>
    <mergeCell ref="J7:K7"/>
    <mergeCell ref="D4:E4"/>
    <mergeCell ref="D8:E8"/>
    <mergeCell ref="B5:C5"/>
    <mergeCell ref="D5:E5"/>
    <mergeCell ref="A1:O1"/>
    <mergeCell ref="H5:I5"/>
    <mergeCell ref="H8:I8"/>
    <mergeCell ref="J8:K8"/>
    <mergeCell ref="B4:C4"/>
    <mergeCell ref="N4:O4"/>
  </mergeCells>
  <pageMargins left="0.5" right="0.5" top="0.75" bottom="0.75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6" customWidth="1" min="4" max="4"/>
    <col width="12" customWidth="1" min="5" max="5"/>
    <col width="15" customWidth="1" min="6" max="6"/>
    <col width="15" customWidth="1" min="7" max="7"/>
    <col width="30" customWidth="1" min="8" max="8"/>
  </cols>
  <sheetData>
    <row r="1" ht="40" customHeight="1">
      <c r="A1" s="1" t="inlineStr">
        <is>
          <t>BOARDING HOUSE MEMBERS DIRECTORY</t>
        </is>
      </c>
    </row>
    <row r="2" ht="24" customHeight="1">
      <c r="A2" s="2" t="inlineStr">
        <is>
          <t>Manage active roommate profiles, room allocations, phone numbers and contract terms</t>
        </is>
      </c>
    </row>
    <row r="3" ht="15" customHeight="1"/>
    <row r="4" ht="26" customHeight="1">
      <c r="A4" s="7" t="inlineStr">
        <is>
          <t>Member ID</t>
        </is>
      </c>
      <c r="B4" s="7" t="inlineStr">
        <is>
          <t>Full Name</t>
        </is>
      </c>
      <c r="C4" s="7" t="inlineStr">
        <is>
          <t>Room Number</t>
        </is>
      </c>
      <c r="D4" s="7" t="inlineStr">
        <is>
          <t>Phone Number</t>
        </is>
      </c>
      <c r="E4" s="7" t="inlineStr">
        <is>
          <t>Status</t>
        </is>
      </c>
      <c r="F4" s="7" t="inlineStr">
        <is>
          <t>Join Date</t>
        </is>
      </c>
      <c r="G4" s="7" t="inlineStr">
        <is>
          <t>Leave Date</t>
        </is>
      </c>
      <c r="H4" s="7" t="inlineStr">
        <is>
          <t>Notes</t>
        </is>
      </c>
    </row>
    <row r="5" ht="20" customHeight="1">
      <c r="A5" s="14">
        <f>"MBR" &amp; TEXT(ROW() - 4, "000")</f>
        <v/>
      </c>
      <c r="B5" s="36" t="n"/>
      <c r="C5" s="37" t="n"/>
      <c r="D5" s="37" t="n"/>
      <c r="E5" s="37" t="n"/>
      <c r="F5" s="38" t="n"/>
      <c r="G5" s="38" t="n"/>
      <c r="H5" s="36" t="n"/>
    </row>
    <row r="6" ht="20" customHeight="1">
      <c r="A6" s="15">
        <f>"MBR" &amp; TEXT(ROW() - 4, "000")</f>
        <v/>
      </c>
      <c r="B6" s="39" t="n"/>
      <c r="C6" s="40" t="n"/>
      <c r="D6" s="40" t="n"/>
      <c r="E6" s="40" t="n"/>
      <c r="F6" s="41" t="n"/>
      <c r="G6" s="41" t="n"/>
      <c r="H6" s="39" t="n"/>
    </row>
    <row r="7" ht="20" customHeight="1">
      <c r="A7" s="14">
        <f>"MBR" &amp; TEXT(ROW() - 4, "000")</f>
        <v/>
      </c>
      <c r="B7" s="36" t="n"/>
      <c r="C7" s="37" t="n"/>
      <c r="D7" s="37" t="n"/>
      <c r="E7" s="37" t="n"/>
      <c r="F7" s="38" t="n"/>
      <c r="G7" s="38" t="n"/>
      <c r="H7" s="36" t="n"/>
    </row>
    <row r="8" ht="20" customHeight="1">
      <c r="A8" s="15">
        <f>"MBR" &amp; TEXT(ROW() - 4, "000")</f>
        <v/>
      </c>
      <c r="B8" s="39" t="n"/>
      <c r="C8" s="40" t="n"/>
      <c r="D8" s="40" t="n"/>
      <c r="E8" s="40" t="n"/>
      <c r="F8" s="41" t="n"/>
      <c r="G8" s="41" t="n"/>
      <c r="H8" s="39" t="n"/>
    </row>
    <row r="9" ht="20" customHeight="1">
      <c r="A9" s="14">
        <f>"MBR" &amp; TEXT(ROW() - 4, "000")</f>
        <v/>
      </c>
      <c r="B9" s="36" t="n"/>
      <c r="C9" s="37" t="n"/>
      <c r="D9" s="37" t="n"/>
      <c r="E9" s="37" t="n"/>
      <c r="F9" s="38" t="n"/>
      <c r="G9" s="38" t="n"/>
      <c r="H9" s="36" t="n"/>
    </row>
    <row r="10" ht="20" customHeight="1">
      <c r="A10" s="15">
        <f>"MBR" &amp; TEXT(ROW() - 4, "000")</f>
        <v/>
      </c>
      <c r="B10" s="39" t="n"/>
      <c r="C10" s="40" t="n"/>
      <c r="D10" s="40" t="n"/>
      <c r="E10" s="40" t="n"/>
      <c r="F10" s="41" t="n"/>
      <c r="G10" s="41" t="n"/>
      <c r="H10" s="39" t="n"/>
    </row>
    <row r="11" ht="20" customHeight="1">
      <c r="A11" s="14">
        <f>"MBR" &amp; TEXT(ROW() - 4, "000")</f>
        <v/>
      </c>
      <c r="B11" s="36" t="n"/>
      <c r="C11" s="37" t="n"/>
      <c r="D11" s="37" t="n"/>
      <c r="E11" s="37" t="n"/>
      <c r="F11" s="38" t="n"/>
      <c r="G11" s="38" t="n"/>
      <c r="H11" s="36" t="n"/>
    </row>
    <row r="12" ht="20" customHeight="1">
      <c r="A12" s="15">
        <f>"MBR" &amp; TEXT(ROW() - 4, "000")</f>
        <v/>
      </c>
      <c r="B12" s="39" t="n"/>
      <c r="C12" s="40" t="n"/>
      <c r="D12" s="40" t="n"/>
      <c r="E12" s="40" t="n"/>
      <c r="F12" s="41" t="n"/>
      <c r="G12" s="41" t="n"/>
      <c r="H12" s="39" t="n"/>
    </row>
    <row r="13" ht="20" customHeight="1">
      <c r="A13" s="14">
        <f>"MBR" &amp; TEXT(ROW() - 4, "000")</f>
        <v/>
      </c>
      <c r="B13" s="36" t="n"/>
      <c r="C13" s="37" t="n"/>
      <c r="D13" s="37" t="n"/>
      <c r="E13" s="37" t="n"/>
      <c r="F13" s="38" t="n"/>
      <c r="G13" s="38" t="n"/>
      <c r="H13" s="36" t="n"/>
    </row>
    <row r="14" ht="20" customHeight="1">
      <c r="A14" s="15">
        <f>"MBR" &amp; TEXT(ROW() - 4, "000")</f>
        <v/>
      </c>
      <c r="B14" s="39" t="n"/>
      <c r="C14" s="40" t="n"/>
      <c r="D14" s="40" t="n"/>
      <c r="E14" s="40" t="n"/>
      <c r="F14" s="41" t="n"/>
      <c r="G14" s="41" t="n"/>
      <c r="H14" s="39" t="n"/>
    </row>
    <row r="15" ht="20" customHeight="1">
      <c r="A15" s="14">
        <f>"MBR" &amp; TEXT(ROW() - 4, "000")</f>
        <v/>
      </c>
      <c r="B15" s="36" t="n"/>
      <c r="C15" s="37" t="n"/>
      <c r="D15" s="37" t="n"/>
      <c r="E15" s="37" t="n"/>
      <c r="F15" s="38" t="n"/>
      <c r="G15" s="38" t="n"/>
      <c r="H15" s="36" t="n"/>
    </row>
    <row r="16">
      <c r="B16" s="42" t="n"/>
      <c r="C16" s="42" t="n"/>
      <c r="D16" s="42" t="n"/>
      <c r="E16" s="42" t="n"/>
      <c r="F16" s="42" t="n"/>
      <c r="G16" s="42" t="n"/>
      <c r="H16" s="42" t="n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H2"/>
    <mergeCell ref="A1:H1"/>
  </mergeCells>
  <dataValidations count="4">
    <dataValidation sqref="E5:E15" showDropDown="0" showInputMessage="0" showErrorMessage="0" allowBlank="1" errorTitle="Invalid Status" error="Value must be selected from the list: Active or Inactive" promptTitle="Status" prompt="Select Roommate Status" type="list">
      <formula1>"Active,Inactive"</formula1>
    </dataValidation>
    <dataValidation sqref="C5:C15" showDropDown="0" showInputMessage="0" showErrorMessage="0" allowBlank="1" errorTitle="Invalid Room Number" error="Room number must be an integer between 1 and the maximum members configuration." promptTitle="Room Number" prompt="Enter Room Number" type="whole" operator="between">
      <formula1>1</formula1>
      <formula2>=Settings!$D$9</formula2>
    </dataValidation>
    <dataValidation sqref="D5:D15" showDropDown="0" showInputMessage="0" showErrorMessage="0" allowBlank="1" errorTitle="Invalid Phone Number" error="Phone number must be between 9 and 10 characters long." promptTitle="Phone Number" prompt="Enter 10-digit Phone Number" type="textLength" operator="between">
      <formula1>9</formula1>
      <formula2>10</formula2>
    </dataValidation>
    <dataValidation sqref="F5:F15 G5:G15" showDropDown="0" showInputMessage="0" showErrorMessage="0" allowBlank="1" errorTitle="Invalid Date" error="Date must be after 2000-01-01." promptTitle="Date" prompt="Enter Date (YYYY-MM-DD)" type="date" operator="greaterThanOrEqual">
      <formula1>DATE(2000,1,1)</formula1>
    </dataValidation>
  </dataValidations>
  <pageMargins left="0.5" right="0.5" top="0.75" bottom="0.75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0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16" customWidth="1" min="7" max="7"/>
    <col width="20" customWidth="1" min="8" max="8"/>
    <col width="15" customWidth="1" min="9" max="9"/>
    <col width="16" customWidth="1" min="10" max="10"/>
    <col width="25" customWidth="1" min="11" max="11"/>
  </cols>
  <sheetData>
    <row r="1" ht="40" customHeight="1">
      <c r="A1" s="1" t="inlineStr">
        <is>
          <t>MONTHLY ROOM RENT &amp; UTILITY COLLECTIONS</t>
        </is>
      </c>
    </row>
    <row r="2" ht="24" customHeight="1">
      <c r="A2" s="2" t="inlineStr">
        <is>
          <t>Record payments, split utilities, track collections and manage roommate balance accounts</t>
        </is>
      </c>
    </row>
    <row r="3" ht="15" customHeight="1"/>
    <row r="4" ht="18" customHeight="1">
      <c r="B4" s="3" t="inlineStr">
        <is>
          <t>TOTAL RENT COLLECTED</t>
        </is>
      </c>
      <c r="C4" s="18" t="n"/>
      <c r="E4" s="3" t="inlineStr">
        <is>
          <t>TOTAL OUTSTANDING DUE</t>
        </is>
      </c>
      <c r="F4" s="18" t="n"/>
      <c r="H4" s="3" t="inlineStr">
        <is>
          <t>COLLECTION RATE</t>
        </is>
      </c>
      <c r="I4" s="18" t="n"/>
    </row>
    <row r="5" ht="28" customHeight="1">
      <c r="B5" s="5">
        <f>SUM(tbl_Collections[Total Paid])</f>
        <v/>
      </c>
      <c r="C5" s="18" t="n"/>
      <c r="E5" s="5">
        <f>SUM(tbl_Collections[Outstanding Balance])</f>
        <v/>
      </c>
      <c r="F5" s="18" t="n"/>
      <c r="H5" s="20">
        <f>IF((SUM(tbl_Collections[Standard Contribution])+SUM(tbl_Collections[Extra Contribution]))=0,0,SUM(tbl_Collections[Total Paid])/(SUM(tbl_Collections[Standard Contribution])+SUM(tbl_Collections[Extra Contribution])))</f>
        <v/>
      </c>
      <c r="I5" s="18" t="n"/>
    </row>
    <row r="6" ht="15" customHeight="1"/>
    <row r="7" ht="15" customHeight="1"/>
    <row r="8" ht="26" customHeight="1">
      <c r="A8" s="7" t="inlineStr">
        <is>
          <t>Month</t>
        </is>
      </c>
      <c r="B8" s="7" t="inlineStr">
        <is>
          <t>Member</t>
        </is>
      </c>
      <c r="C8" s="7" t="inlineStr">
        <is>
          <t>Standard Contribution</t>
        </is>
      </c>
      <c r="D8" s="7" t="inlineStr">
        <is>
          <t>Extra Contribution</t>
        </is>
      </c>
      <c r="E8" s="7" t="inlineStr">
        <is>
          <t>Advance Payment</t>
        </is>
      </c>
      <c r="F8" s="7" t="inlineStr">
        <is>
          <t>Partial Payment</t>
        </is>
      </c>
      <c r="G8" s="7" t="inlineStr">
        <is>
          <t>Total Paid</t>
        </is>
      </c>
      <c r="H8" s="7" t="inlineStr">
        <is>
          <t>Outstanding Balance</t>
        </is>
      </c>
      <c r="I8" s="7" t="inlineStr">
        <is>
          <t>Payment Date</t>
        </is>
      </c>
      <c r="J8" s="7" t="inlineStr">
        <is>
          <t>Payment Status</t>
        </is>
      </c>
      <c r="K8" s="7" t="inlineStr">
        <is>
          <t>Remarks</t>
        </is>
      </c>
    </row>
    <row r="9" ht="20" customHeight="1">
      <c r="A9" s="46" t="n"/>
      <c r="B9" s="36" t="n"/>
      <c r="C9" s="10">
        <f>Settings!$D$6</f>
        <v/>
      </c>
      <c r="D9" s="47" t="n">
        <v>0</v>
      </c>
      <c r="E9" s="47" t="n">
        <v>0</v>
      </c>
      <c r="F9" s="47" t="n">
        <v>0</v>
      </c>
      <c r="G9" s="10">
        <f>[@[Partial Payment]]+[@[Advance Payment]]+[@[Extra Contribution]]</f>
        <v/>
      </c>
      <c r="H9" s="10">
        <f>MAX(0, [@[Standard Contribution]]+[@[Extra Contribution]]-[@[Total Paid]])</f>
        <v/>
      </c>
      <c r="I9" s="38" t="n"/>
      <c r="J9" s="14">
        <f>IF([@[Total Paid]]=0, "Not Paid", IF([@[Total Paid]]&lt;([@[Standard Contribution]]+[@[Extra Contribution]]), "Partial", IF(AND([@[Payment Date]]&lt;&gt;"", DAY([@[Payment Date]])&gt;10), "Late", "Paid")))</f>
        <v/>
      </c>
      <c r="K9" s="36" t="n"/>
    </row>
    <row r="10" ht="20" customHeight="1">
      <c r="A10" s="48" t="n"/>
      <c r="B10" s="39" t="n"/>
      <c r="C10" s="13">
        <f>Settings!$D$6</f>
        <v/>
      </c>
      <c r="D10" s="49" t="n">
        <v>0</v>
      </c>
      <c r="E10" s="49" t="n">
        <v>0</v>
      </c>
      <c r="F10" s="49" t="n">
        <v>0</v>
      </c>
      <c r="G10" s="13">
        <f>[@[Partial Payment]]+[@[Advance Payment]]+[@[Extra Contribution]]</f>
        <v/>
      </c>
      <c r="H10" s="13">
        <f>MAX(0, [@[Standard Contribution]]+[@[Extra Contribution]]-[@[Total Paid]])</f>
        <v/>
      </c>
      <c r="I10" s="41" t="n"/>
      <c r="J10" s="15">
        <f>IF([@[Total Paid]]=0, "Not Paid", IF([@[Total Paid]]&lt;([@[Standard Contribution]]+[@[Extra Contribution]]), "Partial", IF(AND([@[Payment Date]]&lt;&gt;"", DAY([@[Payment Date]])&gt;10), "Late", "Paid")))</f>
        <v/>
      </c>
      <c r="K10" s="39" t="n"/>
    </row>
    <row r="11" ht="20" customHeight="1">
      <c r="A11" s="46" t="n"/>
      <c r="B11" s="36" t="n"/>
      <c r="C11" s="10">
        <f>Settings!$D$6</f>
        <v/>
      </c>
      <c r="D11" s="47" t="n">
        <v>0</v>
      </c>
      <c r="E11" s="47" t="n">
        <v>0</v>
      </c>
      <c r="F11" s="47" t="n">
        <v>0</v>
      </c>
      <c r="G11" s="10">
        <f>[@[Partial Payment]]+[@[Advance Payment]]+[@[Extra Contribution]]</f>
        <v/>
      </c>
      <c r="H11" s="10">
        <f>MAX(0, [@[Standard Contribution]]+[@[Extra Contribution]]-[@[Total Paid]])</f>
        <v/>
      </c>
      <c r="I11" s="38" t="n"/>
      <c r="J11" s="14">
        <f>IF([@[Total Paid]]=0, "Not Paid", IF([@[Total Paid]]&lt;([@[Standard Contribution]]+[@[Extra Contribution]]), "Partial", IF(AND([@[Payment Date]]&lt;&gt;"", DAY([@[Payment Date]])&gt;10), "Late", "Paid")))</f>
        <v/>
      </c>
      <c r="K11" s="36" t="n"/>
    </row>
    <row r="12" ht="20" customHeight="1">
      <c r="A12" s="48" t="n"/>
      <c r="B12" s="39" t="n"/>
      <c r="C12" s="13">
        <f>Settings!$D$6</f>
        <v/>
      </c>
      <c r="D12" s="49" t="n">
        <v>0</v>
      </c>
      <c r="E12" s="49" t="n">
        <v>0</v>
      </c>
      <c r="F12" s="49" t="n">
        <v>0</v>
      </c>
      <c r="G12" s="13">
        <f>[@[Partial Payment]]+[@[Advance Payment]]+[@[Extra Contribution]]</f>
        <v/>
      </c>
      <c r="H12" s="13">
        <f>MAX(0, [@[Standard Contribution]]+[@[Extra Contribution]]-[@[Total Paid]])</f>
        <v/>
      </c>
      <c r="I12" s="41" t="n"/>
      <c r="J12" s="15">
        <f>IF([@[Total Paid]]=0, "Not Paid", IF([@[Total Paid]]&lt;([@[Standard Contribution]]+[@[Extra Contribution]]), "Partial", IF(AND([@[Payment Date]]&lt;&gt;"", DAY([@[Payment Date]])&gt;10), "Late", "Paid")))</f>
        <v/>
      </c>
      <c r="K12" s="39" t="n"/>
    </row>
    <row r="13" ht="20" customHeight="1">
      <c r="A13" s="46" t="n"/>
      <c r="B13" s="36" t="n"/>
      <c r="C13" s="10">
        <f>Settings!$D$6</f>
        <v/>
      </c>
      <c r="D13" s="47" t="n">
        <v>0</v>
      </c>
      <c r="E13" s="47" t="n">
        <v>0</v>
      </c>
      <c r="F13" s="47" t="n">
        <v>0</v>
      </c>
      <c r="G13" s="10">
        <f>[@[Partial Payment]]+[@[Advance Payment]]+[@[Extra Contribution]]</f>
        <v/>
      </c>
      <c r="H13" s="10">
        <f>MAX(0, [@[Standard Contribution]]+[@[Extra Contribution]]-[@[Total Paid]])</f>
        <v/>
      </c>
      <c r="I13" s="38" t="n"/>
      <c r="J13" s="14">
        <f>IF([@[Total Paid]]=0, "Not Paid", IF([@[Total Paid]]&lt;([@[Standard Contribution]]+[@[Extra Contribution]]), "Partial", IF(AND([@[Payment Date]]&lt;&gt;"", DAY([@[Payment Date]])&gt;10), "Late", "Paid")))</f>
        <v/>
      </c>
      <c r="K13" s="36" t="n"/>
    </row>
    <row r="14" ht="20" customHeight="1">
      <c r="A14" s="48" t="n"/>
      <c r="B14" s="39" t="n"/>
      <c r="C14" s="13">
        <f>Settings!$D$6</f>
        <v/>
      </c>
      <c r="D14" s="49" t="n">
        <v>0</v>
      </c>
      <c r="E14" s="49" t="n">
        <v>0</v>
      </c>
      <c r="F14" s="49" t="n">
        <v>0</v>
      </c>
      <c r="G14" s="13">
        <f>[@[Partial Payment]]+[@[Advance Payment]]+[@[Extra Contribution]]</f>
        <v/>
      </c>
      <c r="H14" s="13">
        <f>MAX(0, [@[Standard Contribution]]+[@[Extra Contribution]]-[@[Total Paid]])</f>
        <v/>
      </c>
      <c r="I14" s="41" t="n"/>
      <c r="J14" s="15">
        <f>IF([@[Total Paid]]=0, "Not Paid", IF([@[Total Paid]]&lt;([@[Standard Contribution]]+[@[Extra Contribution]]), "Partial", IF(AND([@[Payment Date]]&lt;&gt;"", DAY([@[Payment Date]])&gt;10), "Late", "Paid")))</f>
        <v/>
      </c>
      <c r="K14" s="39" t="n"/>
    </row>
    <row r="15" ht="20" customHeight="1">
      <c r="A15" s="46" t="n"/>
      <c r="B15" s="36" t="n"/>
      <c r="C15" s="10">
        <f>Settings!$D$6</f>
        <v/>
      </c>
      <c r="D15" s="47" t="n">
        <v>0</v>
      </c>
      <c r="E15" s="47" t="n">
        <v>0</v>
      </c>
      <c r="F15" s="47" t="n">
        <v>0</v>
      </c>
      <c r="G15" s="10">
        <f>[@[Partial Payment]]+[@[Advance Payment]]+[@[Extra Contribution]]</f>
        <v/>
      </c>
      <c r="H15" s="10">
        <f>MAX(0, [@[Standard Contribution]]+[@[Extra Contribution]]-[@[Total Paid]])</f>
        <v/>
      </c>
      <c r="I15" s="38" t="n"/>
      <c r="J15" s="14">
        <f>IF([@[Total Paid]]=0, "Not Paid", IF([@[Total Paid]]&lt;([@[Standard Contribution]]+[@[Extra Contribution]]), "Partial", IF(AND([@[Payment Date]]&lt;&gt;"", DAY([@[Payment Date]])&gt;10), "Late", "Paid")))</f>
        <v/>
      </c>
      <c r="K15" s="36" t="n"/>
    </row>
    <row r="16" ht="20" customHeight="1">
      <c r="A16" s="48" t="n"/>
      <c r="B16" s="39" t="n"/>
      <c r="C16" s="13">
        <f>Settings!$D$6</f>
        <v/>
      </c>
      <c r="D16" s="49" t="n">
        <v>0</v>
      </c>
      <c r="E16" s="49" t="n">
        <v>0</v>
      </c>
      <c r="F16" s="49" t="n">
        <v>0</v>
      </c>
      <c r="G16" s="13">
        <f>[@[Partial Payment]]+[@[Advance Payment]]+[@[Extra Contribution]]</f>
        <v/>
      </c>
      <c r="H16" s="13">
        <f>MAX(0, [@[Standard Contribution]]+[@[Extra Contribution]]-[@[Total Paid]])</f>
        <v/>
      </c>
      <c r="I16" s="41" t="n"/>
      <c r="J16" s="15">
        <f>IF([@[Total Paid]]=0, "Not Paid", IF([@[Total Paid]]&lt;([@[Standard Contribution]]+[@[Extra Contribution]]), "Partial", IF(AND([@[Payment Date]]&lt;&gt;"", DAY([@[Payment Date]])&gt;10), "Late", "Paid")))</f>
        <v/>
      </c>
      <c r="K16" s="39" t="n"/>
    </row>
    <row r="17" ht="20" customHeight="1">
      <c r="A17" s="46" t="n"/>
      <c r="B17" s="36" t="n"/>
      <c r="C17" s="10">
        <f>Settings!$D$6</f>
        <v/>
      </c>
      <c r="D17" s="47" t="n">
        <v>0</v>
      </c>
      <c r="E17" s="47" t="n">
        <v>0</v>
      </c>
      <c r="F17" s="47" t="n">
        <v>0</v>
      </c>
      <c r="G17" s="10">
        <f>[@[Partial Payment]]+[@[Advance Payment]]+[@[Extra Contribution]]</f>
        <v/>
      </c>
      <c r="H17" s="10">
        <f>MAX(0, [@[Standard Contribution]]+[@[Extra Contribution]]-[@[Total Paid]])</f>
        <v/>
      </c>
      <c r="I17" s="38" t="n"/>
      <c r="J17" s="14">
        <f>IF([@[Total Paid]]=0, "Not Paid", IF([@[Total Paid]]&lt;([@[Standard Contribution]]+[@[Extra Contribution]]), "Partial", IF(AND([@[Payment Date]]&lt;&gt;"", DAY([@[Payment Date]])&gt;10), "Late", "Paid")))</f>
        <v/>
      </c>
      <c r="K17" s="36" t="n"/>
    </row>
    <row r="18" ht="20" customHeight="1">
      <c r="A18" s="48" t="n"/>
      <c r="B18" s="39" t="n"/>
      <c r="C18" s="13">
        <f>Settings!$D$6</f>
        <v/>
      </c>
      <c r="D18" s="49" t="n">
        <v>0</v>
      </c>
      <c r="E18" s="49" t="n">
        <v>0</v>
      </c>
      <c r="F18" s="49" t="n">
        <v>0</v>
      </c>
      <c r="G18" s="13">
        <f>[@[Partial Payment]]+[@[Advance Payment]]+[@[Extra Contribution]]</f>
        <v/>
      </c>
      <c r="H18" s="13">
        <f>MAX(0, [@[Standard Contribution]]+[@[Extra Contribution]]-[@[Total Paid]])</f>
        <v/>
      </c>
      <c r="I18" s="41" t="n"/>
      <c r="J18" s="15">
        <f>IF([@[Total Paid]]=0, "Not Paid", IF([@[Total Paid]]&lt;([@[Standard Contribution]]+[@[Extra Contribution]]), "Partial", IF(AND([@[Payment Date]]&lt;&gt;"", DAY([@[Payment Date]])&gt;10), "Late", "Paid")))</f>
        <v/>
      </c>
      <c r="K18" s="39" t="n"/>
    </row>
    <row r="19" ht="20" customHeight="1">
      <c r="A19" s="46" t="n"/>
      <c r="B19" s="36" t="n"/>
      <c r="C19" s="10">
        <f>Settings!$D$6</f>
        <v/>
      </c>
      <c r="D19" s="47" t="n">
        <v>0</v>
      </c>
      <c r="E19" s="47" t="n">
        <v>0</v>
      </c>
      <c r="F19" s="47" t="n">
        <v>0</v>
      </c>
      <c r="G19" s="10">
        <f>[@[Partial Payment]]+[@[Advance Payment]]+[@[Extra Contribution]]</f>
        <v/>
      </c>
      <c r="H19" s="10">
        <f>MAX(0, [@[Standard Contribution]]+[@[Extra Contribution]]-[@[Total Paid]])</f>
        <v/>
      </c>
      <c r="I19" s="38" t="n"/>
      <c r="J19" s="14">
        <f>IF([@[Total Paid]]=0, "Not Paid", IF([@[Total Paid]]&lt;([@[Standard Contribution]]+[@[Extra Contribution]]), "Partial", IF(AND([@[Payment Date]]&lt;&gt;"", DAY([@[Payment Date]])&gt;10), "Late", "Paid")))</f>
        <v/>
      </c>
      <c r="K19" s="36" t="n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">
    <mergeCell ref="E4:F4"/>
    <mergeCell ref="B5:C5"/>
    <mergeCell ref="A2:K2"/>
    <mergeCell ref="E5:F5"/>
    <mergeCell ref="H5:I5"/>
    <mergeCell ref="H4:I4"/>
    <mergeCell ref="A1:K1"/>
    <mergeCell ref="B4:C4"/>
  </mergeCells>
  <conditionalFormatting sqref="J9:J19">
    <cfRule type="cellIs" priority="1" operator="equal" dxfId="0">
      <formula>"Not Paid"</formula>
    </cfRule>
    <cfRule type="cellIs" priority="2" operator="equal" dxfId="1">
      <formula>"Partial"</formula>
    </cfRule>
    <cfRule type="cellIs" priority="3" operator="equal" dxfId="2">
      <formula>"Paid"</formula>
    </cfRule>
    <cfRule type="cellIs" priority="4" operator="equal" dxfId="3">
      <formula>"Late"</formula>
    </cfRule>
  </conditionalFormatting>
  <pageMargins left="0.5" right="0.5" top="0.75" bottom="0.75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0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5" customWidth="1" min="4" max="4"/>
    <col width="14" customWidth="1" min="5" max="5"/>
    <col width="14" customWidth="1" min="6" max="6"/>
    <col width="18" customWidth="1" min="7" max="7"/>
    <col width="18" customWidth="1" min="8" max="8"/>
    <col width="16" customWidth="1" min="9" max="9"/>
    <col width="16" customWidth="1" min="10" max="10"/>
    <col width="25" customWidth="1" min="11" max="11"/>
  </cols>
  <sheetData>
    <row r="1" ht="40" customHeight="1">
      <c r="A1" s="1" t="inlineStr">
        <is>
          <t>UTILITY BILLS MASTER LOG</t>
        </is>
      </c>
    </row>
    <row r="2" ht="24" customHeight="1">
      <c r="A2" s="2" t="inlineStr">
        <is>
          <t>Track Water, Electricity, Internet, Gas, Cleaning, and other boarding operational expenditures</t>
        </is>
      </c>
    </row>
    <row r="3" ht="15" customHeight="1"/>
    <row r="4" ht="26" customHeight="1">
      <c r="A4" s="7" t="inlineStr">
        <is>
          <t>Month</t>
        </is>
      </c>
      <c r="B4" s="7" t="inlineStr">
        <is>
          <t>Water Bill</t>
        </is>
      </c>
      <c r="C4" s="7" t="inlineStr">
        <is>
          <t>Electricity Bill</t>
        </is>
      </c>
      <c r="D4" s="7" t="inlineStr">
        <is>
          <t>Internet</t>
        </is>
      </c>
      <c r="E4" s="7" t="inlineStr">
        <is>
          <t>Gas</t>
        </is>
      </c>
      <c r="F4" s="7" t="inlineStr">
        <is>
          <t>Cleaning</t>
        </is>
      </c>
      <c r="G4" s="7" t="inlineStr">
        <is>
          <t>Other Expenses</t>
        </is>
      </c>
      <c r="H4" s="7" t="inlineStr">
        <is>
          <t>Total Expenses</t>
        </is>
      </c>
      <c r="I4" s="7" t="inlineStr">
        <is>
          <t>Bill Paid Date</t>
        </is>
      </c>
      <c r="J4" s="7" t="inlineStr">
        <is>
          <t>Paid By</t>
        </is>
      </c>
      <c r="K4" s="7" t="inlineStr">
        <is>
          <t>Remarks</t>
        </is>
      </c>
    </row>
    <row r="5" ht="20" customHeight="1">
      <c r="A5" s="46" t="n"/>
      <c r="B5" s="47" t="n">
        <v>0</v>
      </c>
      <c r="C5" s="47" t="n">
        <v>0</v>
      </c>
      <c r="D5" s="47" t="n">
        <v>0</v>
      </c>
      <c r="E5" s="47" t="n">
        <v>0</v>
      </c>
      <c r="F5" s="47" t="n">
        <v>0</v>
      </c>
      <c r="G5" s="47" t="n">
        <v>0</v>
      </c>
      <c r="H5" s="10">
        <f>[@[Water Bill]]+[@[Electricity Bill]]+[@[Internet]]+[@[Gas]]+[@[Cleaning]]+[@[Other Expenses]]</f>
        <v/>
      </c>
      <c r="I5" s="38" t="n"/>
      <c r="J5" s="36" t="n"/>
      <c r="K5" s="36" t="n"/>
    </row>
    <row r="6" ht="20" customHeight="1">
      <c r="A6" s="48" t="n"/>
      <c r="B6" s="49" t="n">
        <v>0</v>
      </c>
      <c r="C6" s="49" t="n">
        <v>0</v>
      </c>
      <c r="D6" s="49" t="n">
        <v>0</v>
      </c>
      <c r="E6" s="49" t="n">
        <v>0</v>
      </c>
      <c r="F6" s="49" t="n">
        <v>0</v>
      </c>
      <c r="G6" s="49" t="n">
        <v>0</v>
      </c>
      <c r="H6" s="13">
        <f>[@[Water Bill]]+[@[Electricity Bill]]+[@[Internet]]+[@[Gas]]+[@[Cleaning]]+[@[Other Expenses]]</f>
        <v/>
      </c>
      <c r="I6" s="41" t="n"/>
      <c r="J6" s="39" t="n"/>
      <c r="K6" s="39" t="n"/>
    </row>
    <row r="7" ht="20" customHeight="1">
      <c r="A7" s="46" t="n"/>
      <c r="B7" s="47" t="n">
        <v>0</v>
      </c>
      <c r="C7" s="47" t="n">
        <v>0</v>
      </c>
      <c r="D7" s="47" t="n">
        <v>0</v>
      </c>
      <c r="E7" s="47" t="n">
        <v>0</v>
      </c>
      <c r="F7" s="47" t="n">
        <v>0</v>
      </c>
      <c r="G7" s="47" t="n">
        <v>0</v>
      </c>
      <c r="H7" s="10">
        <f>[@[Water Bill]]+[@[Electricity Bill]]+[@[Internet]]+[@[Gas]]+[@[Cleaning]]+[@[Other Expenses]]</f>
        <v/>
      </c>
      <c r="I7" s="38" t="n"/>
      <c r="J7" s="36" t="n"/>
      <c r="K7" s="36" t="n"/>
    </row>
    <row r="8" ht="20" customHeight="1">
      <c r="A8" s="48" t="n"/>
      <c r="B8" s="49" t="n">
        <v>0</v>
      </c>
      <c r="C8" s="49" t="n">
        <v>0</v>
      </c>
      <c r="D8" s="49" t="n">
        <v>0</v>
      </c>
      <c r="E8" s="49" t="n">
        <v>0</v>
      </c>
      <c r="F8" s="49" t="n">
        <v>0</v>
      </c>
      <c r="G8" s="49" t="n">
        <v>0</v>
      </c>
      <c r="H8" s="13">
        <f>[@[Water Bill]]+[@[Electricity Bill]]+[@[Internet]]+[@[Gas]]+[@[Cleaning]]+[@[Other Expenses]]</f>
        <v/>
      </c>
      <c r="I8" s="41" t="n"/>
      <c r="J8" s="39" t="n"/>
      <c r="K8" s="39" t="n"/>
    </row>
    <row r="9" ht="20" customHeight="1">
      <c r="A9" s="46" t="n"/>
      <c r="B9" s="47" t="n">
        <v>0</v>
      </c>
      <c r="C9" s="47" t="n">
        <v>0</v>
      </c>
      <c r="D9" s="47" t="n">
        <v>0</v>
      </c>
      <c r="E9" s="47" t="n">
        <v>0</v>
      </c>
      <c r="F9" s="47" t="n">
        <v>0</v>
      </c>
      <c r="G9" s="47" t="n">
        <v>0</v>
      </c>
      <c r="H9" s="10">
        <f>[@[Water Bill]]+[@[Electricity Bill]]+[@[Internet]]+[@[Gas]]+[@[Cleaning]]+[@[Other Expenses]]</f>
        <v/>
      </c>
      <c r="I9" s="38" t="n"/>
      <c r="J9" s="36" t="n"/>
      <c r="K9" s="36" t="n"/>
    </row>
    <row r="10" ht="20" customHeight="1">
      <c r="A10" s="48" t="n"/>
      <c r="B10" s="49" t="n">
        <v>0</v>
      </c>
      <c r="C10" s="49" t="n">
        <v>0</v>
      </c>
      <c r="D10" s="49" t="n">
        <v>0</v>
      </c>
      <c r="E10" s="49" t="n">
        <v>0</v>
      </c>
      <c r="F10" s="49" t="n">
        <v>0</v>
      </c>
      <c r="G10" s="49" t="n">
        <v>0</v>
      </c>
      <c r="H10" s="13">
        <f>[@[Water Bill]]+[@[Electricity Bill]]+[@[Internet]]+[@[Gas]]+[@[Cleaning]]+[@[Other Expenses]]</f>
        <v/>
      </c>
      <c r="I10" s="41" t="n"/>
      <c r="J10" s="39" t="n"/>
      <c r="K10" s="39" t="n"/>
    </row>
    <row r="11" ht="20" customHeight="1">
      <c r="A11" s="46" t="n"/>
      <c r="B11" s="47" t="n">
        <v>0</v>
      </c>
      <c r="C11" s="47" t="n">
        <v>0</v>
      </c>
      <c r="D11" s="47" t="n">
        <v>0</v>
      </c>
      <c r="E11" s="47" t="n">
        <v>0</v>
      </c>
      <c r="F11" s="47" t="n">
        <v>0</v>
      </c>
      <c r="G11" s="47" t="n">
        <v>0</v>
      </c>
      <c r="H11" s="10">
        <f>[@[Water Bill]]+[@[Electricity Bill]]+[@[Internet]]+[@[Gas]]+[@[Cleaning]]+[@[Other Expenses]]</f>
        <v/>
      </c>
      <c r="I11" s="38" t="n"/>
      <c r="J11" s="36" t="n"/>
      <c r="K11" s="36" t="n"/>
    </row>
    <row r="12" ht="20" customHeight="1">
      <c r="A12" s="48" t="n"/>
      <c r="B12" s="49" t="n">
        <v>0</v>
      </c>
      <c r="C12" s="49" t="n">
        <v>0</v>
      </c>
      <c r="D12" s="49" t="n">
        <v>0</v>
      </c>
      <c r="E12" s="49" t="n">
        <v>0</v>
      </c>
      <c r="F12" s="49" t="n">
        <v>0</v>
      </c>
      <c r="G12" s="49" t="n">
        <v>0</v>
      </c>
      <c r="H12" s="13">
        <f>[@[Water Bill]]+[@[Electricity Bill]]+[@[Internet]]+[@[Gas]]+[@[Cleaning]]+[@[Other Expenses]]</f>
        <v/>
      </c>
      <c r="I12" s="41" t="n"/>
      <c r="J12" s="39" t="n"/>
      <c r="K12" s="39" t="n"/>
    </row>
    <row r="13" ht="20" customHeight="1">
      <c r="A13" s="46" t="n"/>
      <c r="B13" s="47" t="n">
        <v>0</v>
      </c>
      <c r="C13" s="47" t="n">
        <v>0</v>
      </c>
      <c r="D13" s="47" t="n">
        <v>0</v>
      </c>
      <c r="E13" s="47" t="n">
        <v>0</v>
      </c>
      <c r="F13" s="47" t="n">
        <v>0</v>
      </c>
      <c r="G13" s="47" t="n">
        <v>0</v>
      </c>
      <c r="H13" s="10">
        <f>[@[Water Bill]]+[@[Electricity Bill]]+[@[Internet]]+[@[Gas]]+[@[Cleaning]]+[@[Other Expenses]]</f>
        <v/>
      </c>
      <c r="I13" s="38" t="n"/>
      <c r="J13" s="36" t="n"/>
      <c r="K13" s="36" t="n"/>
    </row>
    <row r="14" ht="20" customHeight="1">
      <c r="A14" s="48" t="n"/>
      <c r="B14" s="49" t="n">
        <v>0</v>
      </c>
      <c r="C14" s="49" t="n">
        <v>0</v>
      </c>
      <c r="D14" s="49" t="n">
        <v>0</v>
      </c>
      <c r="E14" s="49" t="n">
        <v>0</v>
      </c>
      <c r="F14" s="49" t="n">
        <v>0</v>
      </c>
      <c r="G14" s="49" t="n">
        <v>0</v>
      </c>
      <c r="H14" s="13">
        <f>[@[Water Bill]]+[@[Electricity Bill]]+[@[Internet]]+[@[Gas]]+[@[Cleaning]]+[@[Other Expenses]]</f>
        <v/>
      </c>
      <c r="I14" s="41" t="n"/>
      <c r="J14" s="39" t="n"/>
      <c r="K14" s="39" t="n"/>
    </row>
    <row r="15" ht="20" customHeight="1">
      <c r="A15" s="46" t="n"/>
      <c r="B15" s="47" t="n">
        <v>0</v>
      </c>
      <c r="C15" s="47" t="n">
        <v>0</v>
      </c>
      <c r="D15" s="47" t="n">
        <v>0</v>
      </c>
      <c r="E15" s="47" t="n">
        <v>0</v>
      </c>
      <c r="F15" s="47" t="n">
        <v>0</v>
      </c>
      <c r="G15" s="47" t="n">
        <v>0</v>
      </c>
      <c r="H15" s="10">
        <f>[@[Water Bill]]+[@[Electricity Bill]]+[@[Internet]]+[@[Gas]]+[@[Cleaning]]+[@[Other Expenses]]</f>
        <v/>
      </c>
      <c r="I15" s="38" t="n"/>
      <c r="J15" s="36" t="n"/>
      <c r="K15" s="36" t="n"/>
    </row>
    <row r="16" ht="20" customHeight="1">
      <c r="A16" s="48" t="n"/>
      <c r="B16" s="49" t="n">
        <v>0</v>
      </c>
      <c r="C16" s="49" t="n">
        <v>0</v>
      </c>
      <c r="D16" s="49" t="n">
        <v>0</v>
      </c>
      <c r="E16" s="49" t="n">
        <v>0</v>
      </c>
      <c r="F16" s="49" t="n">
        <v>0</v>
      </c>
      <c r="G16" s="49" t="n">
        <v>0</v>
      </c>
      <c r="H16" s="13">
        <f>[@[Water Bill]]+[@[Electricity Bill]]+[@[Internet]]+[@[Gas]]+[@[Cleaning]]+[@[Other Expenses]]</f>
        <v/>
      </c>
      <c r="I16" s="41" t="n"/>
      <c r="J16" s="39" t="n"/>
      <c r="K16" s="39" t="n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K2"/>
    <mergeCell ref="A1:K1"/>
  </mergeCells>
  <dataValidations count="2">
    <dataValidation sqref="I5:I16" showDropDown="0" showInputMessage="0" showErrorMessage="0" allowBlank="1" errorTitle="Invalid Date" error="Paid date must be greater than or equal to 2000-01-01." promptTitle="Paid Date" prompt="Enter Payment Date (YYYY-MM-DD)" type="date" operator="greaterThanOrEqual">
      <formula1>DATE(2000,1,1)</formula1>
    </dataValidation>
    <dataValidation sqref="B5:G16" showDropDown="0" showInputMessage="0" showErrorMessage="0" allowBlank="1" errorTitle="Invalid Amount" error="Expense amount must be greater than or equal to 0." promptTitle="Expense Amount" prompt="Enter expense amount" type="decimal" operator="greaterThanOrEqual">
      <formula1>0</formula1>
    </dataValidation>
  </dataValidations>
  <pageMargins left="0.5" right="0.5" top="0.75" bottom="0.75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10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6" customWidth="1" min="4" max="4"/>
    <col width="18" customWidth="1" min="5" max="5"/>
    <col width="16" customWidth="1" min="6" max="6"/>
    <col width="18" customWidth="1" min="7" max="7"/>
    <col width="14" customWidth="1" min="8" max="8"/>
    <col width="14" customWidth="1" min="9" max="9"/>
    <col width="18" customWidth="1" min="10" max="10"/>
    <col width="25" customWidth="1" min="11" max="11"/>
  </cols>
  <sheetData>
    <row r="1" ht="40" customHeight="1">
      <c r="A1" s="1" t="inlineStr">
        <is>
          <t>MONTHLY FINANCIAL PERFORMANCE SUMMARY</t>
        </is>
      </c>
    </row>
    <row r="2" ht="24" customHeight="1">
      <c r="A2" s="2" t="inlineStr">
        <is>
          <t>Aggregated roommate collections, utility bills, other expenses, net cash flows, and carry-forward balances</t>
        </is>
      </c>
    </row>
    <row r="3" ht="15" customHeight="1"/>
    <row r="4" ht="26" customHeight="1">
      <c r="A4" s="7" t="inlineStr">
        <is>
          <t>Month</t>
        </is>
      </c>
      <c r="B4" s="7" t="inlineStr">
        <is>
          <t>Expected Collection</t>
        </is>
      </c>
      <c r="C4" s="7" t="inlineStr">
        <is>
          <t>Actual Collection</t>
        </is>
      </c>
      <c r="D4" s="7" t="inlineStr">
        <is>
          <t>Water Bills</t>
        </is>
      </c>
      <c r="E4" s="7" t="inlineStr">
        <is>
          <t>Electricity Bills</t>
        </is>
      </c>
      <c r="F4" s="7" t="inlineStr">
        <is>
          <t>Other Expenses</t>
        </is>
      </c>
      <c r="G4" s="7" t="inlineStr">
        <is>
          <t>Total Expenses</t>
        </is>
      </c>
      <c r="H4" s="7" t="inlineStr">
        <is>
          <t>Surplus</t>
        </is>
      </c>
      <c r="I4" s="7" t="inlineStr">
        <is>
          <t>Deficit</t>
        </is>
      </c>
      <c r="J4" s="7" t="inlineStr">
        <is>
          <t>Carry Forward</t>
        </is>
      </c>
      <c r="K4" s="7" t="inlineStr">
        <is>
          <t>Remarks</t>
        </is>
      </c>
    </row>
    <row r="5" ht="20" customHeight="1">
      <c r="A5" s="21" t="n"/>
      <c r="B5" s="10">
        <f>COUNTIF(tbl_Members[Status], "Active") * Settings!$D$6</f>
        <v/>
      </c>
      <c r="C5" s="10">
        <f>SUMIFS(tbl_Collections[Total Paid], tbl_Collections[Month], [@[Month]])</f>
        <v/>
      </c>
      <c r="D5" s="10">
        <f>SUMIFS(tbl_UtilityBills[Water Bill], tbl_UtilityBills[Month], [@[Month]])</f>
        <v/>
      </c>
      <c r="E5" s="10">
        <f>SUMIFS(tbl_UtilityBills[Electricity Bill], tbl_UtilityBills[Month], [@[Month]])</f>
        <v/>
      </c>
      <c r="F5" s="10">
        <f>SUMIFS(tbl_UtilityBills[Internet], tbl_UtilityBills[Month], [@[Month]])+SUMIFS(tbl_UtilityBills[Gas], tbl_UtilityBills[Month], [@[Month]])+SUMIFS(tbl_UtilityBills[Cleaning], tbl_UtilityBills[Month], [@[Month]])+SUMIFS(tbl_UtilityBills[Other Expenses], tbl_UtilityBills[Month], [@[Month]])</f>
        <v/>
      </c>
      <c r="G5" s="10">
        <f>[@[Water Bills]]+[@[Electricity Bills]]+[@[Other Expenses]]</f>
        <v/>
      </c>
      <c r="H5" s="10">
        <f>IF([@[Actual Collection]]&gt;[@[Total Expenses]], [@[Actual Collection]]-[@[Total Expenses]], 0)</f>
        <v/>
      </c>
      <c r="I5" s="10">
        <f>IF([@[Total Expenses]]&gt;[@[Actual Collection]], [@[Total Expenses]]-[@[Actual Collection]], 0)</f>
        <v/>
      </c>
      <c r="J5" s="10">
        <f>[@[Actual Collection]]-[@[Total Expenses]]</f>
        <v/>
      </c>
      <c r="K5" s="9" t="n"/>
    </row>
    <row r="6" ht="20" customHeight="1">
      <c r="A6" s="22" t="n"/>
      <c r="B6" s="13">
        <f>COUNTIF(tbl_Members[Status], "Active") * Settings!$D$6</f>
        <v/>
      </c>
      <c r="C6" s="13">
        <f>SUMIFS(tbl_Collections[Total Paid], tbl_Collections[Month], [@[Month]])</f>
        <v/>
      </c>
      <c r="D6" s="13">
        <f>SUMIFS(tbl_UtilityBills[Water Bill], tbl_UtilityBills[Month], [@[Month]])</f>
        <v/>
      </c>
      <c r="E6" s="13">
        <f>SUMIFS(tbl_UtilityBills[Electricity Bill], tbl_UtilityBills[Month], [@[Month]])</f>
        <v/>
      </c>
      <c r="F6" s="13">
        <f>SUMIFS(tbl_UtilityBills[Internet], tbl_UtilityBills[Month], [@[Month]])+SUMIFS(tbl_UtilityBills[Gas], tbl_UtilityBills[Month], [@[Month]])+SUMIFS(tbl_UtilityBills[Cleaning], tbl_UtilityBills[Month], [@[Month]])+SUMIFS(tbl_UtilityBills[Other Expenses], tbl_UtilityBills[Month], [@[Month]])</f>
        <v/>
      </c>
      <c r="G6" s="13">
        <f>[@[Water Bills]]+[@[Electricity Bills]]+[@[Other Expenses]]</f>
        <v/>
      </c>
      <c r="H6" s="13">
        <f>IF([@[Actual Collection]]&gt;[@[Total Expenses]], [@[Actual Collection]]-[@[Total Expenses]], 0)</f>
        <v/>
      </c>
      <c r="I6" s="13">
        <f>IF([@[Total Expenses]]&gt;[@[Actual Collection]], [@[Total Expenses]]-[@[Actual Collection]], 0)</f>
        <v/>
      </c>
      <c r="J6" s="13">
        <f>J5+[@[Actual Collection]]-[@[Total Expenses]]</f>
        <v/>
      </c>
      <c r="K6" s="12" t="n"/>
    </row>
    <row r="7" ht="20" customHeight="1">
      <c r="A7" s="21" t="n"/>
      <c r="B7" s="10">
        <f>COUNTIF(tbl_Members[Status], "Active") * Settings!$D$6</f>
        <v/>
      </c>
      <c r="C7" s="10">
        <f>SUMIFS(tbl_Collections[Total Paid], tbl_Collections[Month], [@[Month]])</f>
        <v/>
      </c>
      <c r="D7" s="10">
        <f>SUMIFS(tbl_UtilityBills[Water Bill], tbl_UtilityBills[Month], [@[Month]])</f>
        <v/>
      </c>
      <c r="E7" s="10">
        <f>SUMIFS(tbl_UtilityBills[Electricity Bill], tbl_UtilityBills[Month], [@[Month]])</f>
        <v/>
      </c>
      <c r="F7" s="10">
        <f>SUMIFS(tbl_UtilityBills[Internet], tbl_UtilityBills[Month], [@[Month]])+SUMIFS(tbl_UtilityBills[Gas], tbl_UtilityBills[Month], [@[Month]])+SUMIFS(tbl_UtilityBills[Cleaning], tbl_UtilityBills[Month], [@[Month]])+SUMIFS(tbl_UtilityBills[Other Expenses], tbl_UtilityBills[Month], [@[Month]])</f>
        <v/>
      </c>
      <c r="G7" s="10">
        <f>[@[Water Bills]]+[@[Electricity Bills]]+[@[Other Expenses]]</f>
        <v/>
      </c>
      <c r="H7" s="10">
        <f>IF([@[Actual Collection]]&gt;[@[Total Expenses]], [@[Actual Collection]]-[@[Total Expenses]], 0)</f>
        <v/>
      </c>
      <c r="I7" s="10">
        <f>IF([@[Total Expenses]]&gt;[@[Actual Collection]], [@[Total Expenses]]-[@[Actual Collection]], 0)</f>
        <v/>
      </c>
      <c r="J7" s="10">
        <f>J6+[@[Actual Collection]]-[@[Total Expenses]]</f>
        <v/>
      </c>
      <c r="K7" s="9" t="n"/>
    </row>
    <row r="8" ht="20" customHeight="1">
      <c r="A8" s="22" t="n"/>
      <c r="B8" s="13">
        <f>COUNTIF(tbl_Members[Status], "Active") * Settings!$D$6</f>
        <v/>
      </c>
      <c r="C8" s="13">
        <f>SUMIFS(tbl_Collections[Total Paid], tbl_Collections[Month], [@[Month]])</f>
        <v/>
      </c>
      <c r="D8" s="13">
        <f>SUMIFS(tbl_UtilityBills[Water Bill], tbl_UtilityBills[Month], [@[Month]])</f>
        <v/>
      </c>
      <c r="E8" s="13">
        <f>SUMIFS(tbl_UtilityBills[Electricity Bill], tbl_UtilityBills[Month], [@[Month]])</f>
        <v/>
      </c>
      <c r="F8" s="13">
        <f>SUMIFS(tbl_UtilityBills[Internet], tbl_UtilityBills[Month], [@[Month]])+SUMIFS(tbl_UtilityBills[Gas], tbl_UtilityBills[Month], [@[Month]])+SUMIFS(tbl_UtilityBills[Cleaning], tbl_UtilityBills[Month], [@[Month]])+SUMIFS(tbl_UtilityBills[Other Expenses], tbl_UtilityBills[Month], [@[Month]])</f>
        <v/>
      </c>
      <c r="G8" s="13">
        <f>[@[Water Bills]]+[@[Electricity Bills]]+[@[Other Expenses]]</f>
        <v/>
      </c>
      <c r="H8" s="13">
        <f>IF([@[Actual Collection]]&gt;[@[Total Expenses]], [@[Actual Collection]]-[@[Total Expenses]], 0)</f>
        <v/>
      </c>
      <c r="I8" s="13">
        <f>IF([@[Total Expenses]]&gt;[@[Actual Collection]], [@[Total Expenses]]-[@[Actual Collection]], 0)</f>
        <v/>
      </c>
      <c r="J8" s="13">
        <f>J7+[@[Actual Collection]]-[@[Total Expenses]]</f>
        <v/>
      </c>
      <c r="K8" s="12" t="n"/>
    </row>
    <row r="9" ht="20" customHeight="1">
      <c r="A9" s="21" t="n"/>
      <c r="B9" s="10">
        <f>COUNTIF(tbl_Members[Status], "Active") * Settings!$D$6</f>
        <v/>
      </c>
      <c r="C9" s="10">
        <f>SUMIFS(tbl_Collections[Total Paid], tbl_Collections[Month], [@[Month]])</f>
        <v/>
      </c>
      <c r="D9" s="10">
        <f>SUMIFS(tbl_UtilityBills[Water Bill], tbl_UtilityBills[Month], [@[Month]])</f>
        <v/>
      </c>
      <c r="E9" s="10">
        <f>SUMIFS(tbl_UtilityBills[Electricity Bill], tbl_UtilityBills[Month], [@[Month]])</f>
        <v/>
      </c>
      <c r="F9" s="10">
        <f>SUMIFS(tbl_UtilityBills[Internet], tbl_UtilityBills[Month], [@[Month]])+SUMIFS(tbl_UtilityBills[Gas], tbl_UtilityBills[Month], [@[Month]])+SUMIFS(tbl_UtilityBills[Cleaning], tbl_UtilityBills[Month], [@[Month]])+SUMIFS(tbl_UtilityBills[Other Expenses], tbl_UtilityBills[Month], [@[Month]])</f>
        <v/>
      </c>
      <c r="G9" s="10">
        <f>[@[Water Bills]]+[@[Electricity Bills]]+[@[Other Expenses]]</f>
        <v/>
      </c>
      <c r="H9" s="10">
        <f>IF([@[Actual Collection]]&gt;[@[Total Expenses]], [@[Actual Collection]]-[@[Total Expenses]], 0)</f>
        <v/>
      </c>
      <c r="I9" s="10">
        <f>IF([@[Total Expenses]]&gt;[@[Actual Collection]], [@[Total Expenses]]-[@[Actual Collection]], 0)</f>
        <v/>
      </c>
      <c r="J9" s="10">
        <f>J8+[@[Actual Collection]]-[@[Total Expenses]]</f>
        <v/>
      </c>
      <c r="K9" s="9" t="n"/>
    </row>
    <row r="10" ht="20" customHeight="1">
      <c r="A10" s="22" t="n"/>
      <c r="B10" s="13">
        <f>COUNTIF(tbl_Members[Status], "Active") * Settings!$D$6</f>
        <v/>
      </c>
      <c r="C10" s="13">
        <f>SUMIFS(tbl_Collections[Total Paid], tbl_Collections[Month], [@[Month]])</f>
        <v/>
      </c>
      <c r="D10" s="13">
        <f>SUMIFS(tbl_UtilityBills[Water Bill], tbl_UtilityBills[Month], [@[Month]])</f>
        <v/>
      </c>
      <c r="E10" s="13">
        <f>SUMIFS(tbl_UtilityBills[Electricity Bill], tbl_UtilityBills[Month], [@[Month]])</f>
        <v/>
      </c>
      <c r="F10" s="13">
        <f>SUMIFS(tbl_UtilityBills[Internet], tbl_UtilityBills[Month], [@[Month]])+SUMIFS(tbl_UtilityBills[Gas], tbl_UtilityBills[Month], [@[Month]])+SUMIFS(tbl_UtilityBills[Cleaning], tbl_UtilityBills[Month], [@[Month]])+SUMIFS(tbl_UtilityBills[Other Expenses], tbl_UtilityBills[Month], [@[Month]])</f>
        <v/>
      </c>
      <c r="G10" s="13">
        <f>[@[Water Bills]]+[@[Electricity Bills]]+[@[Other Expenses]]</f>
        <v/>
      </c>
      <c r="H10" s="13">
        <f>IF([@[Actual Collection]]&gt;[@[Total Expenses]], [@[Actual Collection]]-[@[Total Expenses]], 0)</f>
        <v/>
      </c>
      <c r="I10" s="13">
        <f>IF([@[Total Expenses]]&gt;[@[Actual Collection]], [@[Total Expenses]]-[@[Actual Collection]], 0)</f>
        <v/>
      </c>
      <c r="J10" s="13">
        <f>J9+[@[Actual Collection]]-[@[Total Expenses]]</f>
        <v/>
      </c>
      <c r="K10" s="12" t="n"/>
    </row>
    <row r="11" ht="20" customHeight="1">
      <c r="A11" s="21" t="n"/>
      <c r="B11" s="10">
        <f>COUNTIF(tbl_Members[Status], "Active") * Settings!$D$6</f>
        <v/>
      </c>
      <c r="C11" s="10">
        <f>SUMIFS(tbl_Collections[Total Paid], tbl_Collections[Month], [@[Month]])</f>
        <v/>
      </c>
      <c r="D11" s="10">
        <f>SUMIFS(tbl_UtilityBills[Water Bill], tbl_UtilityBills[Month], [@[Month]])</f>
        <v/>
      </c>
      <c r="E11" s="10">
        <f>SUMIFS(tbl_UtilityBills[Electricity Bill], tbl_UtilityBills[Month], [@[Month]])</f>
        <v/>
      </c>
      <c r="F11" s="10">
        <f>SUMIFS(tbl_UtilityBills[Internet], tbl_UtilityBills[Month], [@[Month]])+SUMIFS(tbl_UtilityBills[Gas], tbl_UtilityBills[Month], [@[Month]])+SUMIFS(tbl_UtilityBills[Cleaning], tbl_UtilityBills[Month], [@[Month]])+SUMIFS(tbl_UtilityBills[Other Expenses], tbl_UtilityBills[Month], [@[Month]])</f>
        <v/>
      </c>
      <c r="G11" s="10">
        <f>[@[Water Bills]]+[@[Electricity Bills]]+[@[Other Expenses]]</f>
        <v/>
      </c>
      <c r="H11" s="10">
        <f>IF([@[Actual Collection]]&gt;[@[Total Expenses]], [@[Actual Collection]]-[@[Total Expenses]], 0)</f>
        <v/>
      </c>
      <c r="I11" s="10">
        <f>IF([@[Total Expenses]]&gt;[@[Actual Collection]], [@[Total Expenses]]-[@[Actual Collection]], 0)</f>
        <v/>
      </c>
      <c r="J11" s="10">
        <f>J10+[@[Actual Collection]]-[@[Total Expenses]]</f>
        <v/>
      </c>
      <c r="K11" s="9" t="n"/>
    </row>
    <row r="12" ht="20" customHeight="1">
      <c r="A12" s="22" t="n"/>
      <c r="B12" s="13">
        <f>COUNTIF(tbl_Members[Status], "Active") * Settings!$D$6</f>
        <v/>
      </c>
      <c r="C12" s="13">
        <f>SUMIFS(tbl_Collections[Total Paid], tbl_Collections[Month], [@[Month]])</f>
        <v/>
      </c>
      <c r="D12" s="13">
        <f>SUMIFS(tbl_UtilityBills[Water Bill], tbl_UtilityBills[Month], [@[Month]])</f>
        <v/>
      </c>
      <c r="E12" s="13">
        <f>SUMIFS(tbl_UtilityBills[Electricity Bill], tbl_UtilityBills[Month], [@[Month]])</f>
        <v/>
      </c>
      <c r="F12" s="13">
        <f>SUMIFS(tbl_UtilityBills[Internet], tbl_UtilityBills[Month], [@[Month]])+SUMIFS(tbl_UtilityBills[Gas], tbl_UtilityBills[Month], [@[Month]])+SUMIFS(tbl_UtilityBills[Cleaning], tbl_UtilityBills[Month], [@[Month]])+SUMIFS(tbl_UtilityBills[Other Expenses], tbl_UtilityBills[Month], [@[Month]])</f>
        <v/>
      </c>
      <c r="G12" s="13">
        <f>[@[Water Bills]]+[@[Electricity Bills]]+[@[Other Expenses]]</f>
        <v/>
      </c>
      <c r="H12" s="13">
        <f>IF([@[Actual Collection]]&gt;[@[Total Expenses]], [@[Actual Collection]]-[@[Total Expenses]], 0)</f>
        <v/>
      </c>
      <c r="I12" s="13">
        <f>IF([@[Total Expenses]]&gt;[@[Actual Collection]], [@[Total Expenses]]-[@[Actual Collection]], 0)</f>
        <v/>
      </c>
      <c r="J12" s="13">
        <f>J11+[@[Actual Collection]]-[@[Total Expenses]]</f>
        <v/>
      </c>
      <c r="K12" s="12" t="n"/>
    </row>
    <row r="13" ht="20" customHeight="1">
      <c r="A13" s="21" t="n"/>
      <c r="B13" s="10">
        <f>COUNTIF(tbl_Members[Status], "Active") * Settings!$D$6</f>
        <v/>
      </c>
      <c r="C13" s="10">
        <f>SUMIFS(tbl_Collections[Total Paid], tbl_Collections[Month], [@[Month]])</f>
        <v/>
      </c>
      <c r="D13" s="10">
        <f>SUMIFS(tbl_UtilityBills[Water Bill], tbl_UtilityBills[Month], [@[Month]])</f>
        <v/>
      </c>
      <c r="E13" s="10">
        <f>SUMIFS(tbl_UtilityBills[Electricity Bill], tbl_UtilityBills[Month], [@[Month]])</f>
        <v/>
      </c>
      <c r="F13" s="10">
        <f>SUMIFS(tbl_UtilityBills[Internet], tbl_UtilityBills[Month], [@[Month]])+SUMIFS(tbl_UtilityBills[Gas], tbl_UtilityBills[Month], [@[Month]])+SUMIFS(tbl_UtilityBills[Cleaning], tbl_UtilityBills[Month], [@[Month]])+SUMIFS(tbl_UtilityBills[Other Expenses], tbl_UtilityBills[Month], [@[Month]])</f>
        <v/>
      </c>
      <c r="G13" s="10">
        <f>[@[Water Bills]]+[@[Electricity Bills]]+[@[Other Expenses]]</f>
        <v/>
      </c>
      <c r="H13" s="10">
        <f>IF([@[Actual Collection]]&gt;[@[Total Expenses]], [@[Actual Collection]]-[@[Total Expenses]], 0)</f>
        <v/>
      </c>
      <c r="I13" s="10">
        <f>IF([@[Total Expenses]]&gt;[@[Actual Collection]], [@[Total Expenses]]-[@[Actual Collection]], 0)</f>
        <v/>
      </c>
      <c r="J13" s="10">
        <f>J12+[@[Actual Collection]]-[@[Total Expenses]]</f>
        <v/>
      </c>
      <c r="K13" s="9" t="n"/>
    </row>
    <row r="14" ht="20" customHeight="1">
      <c r="A14" s="22" t="n"/>
      <c r="B14" s="13">
        <f>COUNTIF(tbl_Members[Status], "Active") * Settings!$D$6</f>
        <v/>
      </c>
      <c r="C14" s="13">
        <f>SUMIFS(tbl_Collections[Total Paid], tbl_Collections[Month], [@[Month]])</f>
        <v/>
      </c>
      <c r="D14" s="13">
        <f>SUMIFS(tbl_UtilityBills[Water Bill], tbl_UtilityBills[Month], [@[Month]])</f>
        <v/>
      </c>
      <c r="E14" s="13">
        <f>SUMIFS(tbl_UtilityBills[Electricity Bill], tbl_UtilityBills[Month], [@[Month]])</f>
        <v/>
      </c>
      <c r="F14" s="13">
        <f>SUMIFS(tbl_UtilityBills[Internet], tbl_UtilityBills[Month], [@[Month]])+SUMIFS(tbl_UtilityBills[Gas], tbl_UtilityBills[Month], [@[Month]])+SUMIFS(tbl_UtilityBills[Cleaning], tbl_UtilityBills[Month], [@[Month]])+SUMIFS(tbl_UtilityBills[Other Expenses], tbl_UtilityBills[Month], [@[Month]])</f>
        <v/>
      </c>
      <c r="G14" s="13">
        <f>[@[Water Bills]]+[@[Electricity Bills]]+[@[Other Expenses]]</f>
        <v/>
      </c>
      <c r="H14" s="13">
        <f>IF([@[Actual Collection]]&gt;[@[Total Expenses]], [@[Actual Collection]]-[@[Total Expenses]], 0)</f>
        <v/>
      </c>
      <c r="I14" s="13">
        <f>IF([@[Total Expenses]]&gt;[@[Actual Collection]], [@[Total Expenses]]-[@[Actual Collection]], 0)</f>
        <v/>
      </c>
      <c r="J14" s="13">
        <f>J13+[@[Actual Collection]]-[@[Total Expenses]]</f>
        <v/>
      </c>
      <c r="K14" s="12" t="n"/>
    </row>
    <row r="15" ht="20" customHeight="1">
      <c r="A15" s="21" t="n"/>
      <c r="B15" s="10">
        <f>COUNTIF(tbl_Members[Status], "Active") * Settings!$D$6</f>
        <v/>
      </c>
      <c r="C15" s="10">
        <f>SUMIFS(tbl_Collections[Total Paid], tbl_Collections[Month], [@[Month]])</f>
        <v/>
      </c>
      <c r="D15" s="10">
        <f>SUMIFS(tbl_UtilityBills[Water Bill], tbl_UtilityBills[Month], [@[Month]])</f>
        <v/>
      </c>
      <c r="E15" s="10">
        <f>SUMIFS(tbl_UtilityBills[Electricity Bill], tbl_UtilityBills[Month], [@[Month]])</f>
        <v/>
      </c>
      <c r="F15" s="10">
        <f>SUMIFS(tbl_UtilityBills[Internet], tbl_UtilityBills[Month], [@[Month]])+SUMIFS(tbl_UtilityBills[Gas], tbl_UtilityBills[Month], [@[Month]])+SUMIFS(tbl_UtilityBills[Cleaning], tbl_UtilityBills[Month], [@[Month]])+SUMIFS(tbl_UtilityBills[Other Expenses], tbl_UtilityBills[Month], [@[Month]])</f>
        <v/>
      </c>
      <c r="G15" s="10">
        <f>[@[Water Bills]]+[@[Electricity Bills]]+[@[Other Expenses]]</f>
        <v/>
      </c>
      <c r="H15" s="10">
        <f>IF([@[Actual Collection]]&gt;[@[Total Expenses]], [@[Actual Collection]]-[@[Total Expenses]], 0)</f>
        <v/>
      </c>
      <c r="I15" s="10">
        <f>IF([@[Total Expenses]]&gt;[@[Actual Collection]], [@[Total Expenses]]-[@[Actual Collection]], 0)</f>
        <v/>
      </c>
      <c r="J15" s="10">
        <f>J14+[@[Actual Collection]]-[@[Total Expenses]]</f>
        <v/>
      </c>
      <c r="K15" s="9" t="n"/>
    </row>
    <row r="16" ht="20" customHeight="1">
      <c r="A16" s="22" t="n"/>
      <c r="B16" s="13">
        <f>COUNTIF(tbl_Members[Status], "Active") * Settings!$D$6</f>
        <v/>
      </c>
      <c r="C16" s="13">
        <f>SUMIFS(tbl_Collections[Total Paid], tbl_Collections[Month], [@[Month]])</f>
        <v/>
      </c>
      <c r="D16" s="13">
        <f>SUMIFS(tbl_UtilityBills[Water Bill], tbl_UtilityBills[Month], [@[Month]])</f>
        <v/>
      </c>
      <c r="E16" s="13">
        <f>SUMIFS(tbl_UtilityBills[Electricity Bill], tbl_UtilityBills[Month], [@[Month]])</f>
        <v/>
      </c>
      <c r="F16" s="13">
        <f>SUMIFS(tbl_UtilityBills[Internet], tbl_UtilityBills[Month], [@[Month]])+SUMIFS(tbl_UtilityBills[Gas], tbl_UtilityBills[Month], [@[Month]])+SUMIFS(tbl_UtilityBills[Cleaning], tbl_UtilityBills[Month], [@[Month]])+SUMIFS(tbl_UtilityBills[Other Expenses], tbl_UtilityBills[Month], [@[Month]])</f>
        <v/>
      </c>
      <c r="G16" s="13">
        <f>[@[Water Bills]]+[@[Electricity Bills]]+[@[Other Expenses]]</f>
        <v/>
      </c>
      <c r="H16" s="13">
        <f>IF([@[Actual Collection]]&gt;[@[Total Expenses]], [@[Actual Collection]]-[@[Total Expenses]], 0)</f>
        <v/>
      </c>
      <c r="I16" s="13">
        <f>IF([@[Total Expenses]]&gt;[@[Actual Collection]], [@[Total Expenses]]-[@[Actual Collection]], 0)</f>
        <v/>
      </c>
      <c r="J16" s="13">
        <f>J15+[@[Actual Collection]]-[@[Total Expenses]]</f>
        <v/>
      </c>
      <c r="K16" s="12" t="n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K2"/>
    <mergeCell ref="A1:K1"/>
  </mergeCells>
  <pageMargins left="0.5" right="0.5" top="0.75" bottom="0.7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10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40" customHeight="1">
      <c r="A1" s="1" t="inlineStr">
        <is>
          <t>YEARLY ROOMMATE PAYMENT STATUS TRACKER</t>
        </is>
      </c>
    </row>
    <row r="2" ht="24" customHeight="1">
      <c r="A2" s="2" t="inlineStr">
        <is>
          <t>Cross-tab visual matrix displaying roommate payment status (Paid, Partial, Not Paid, Late) by month</t>
        </is>
      </c>
    </row>
    <row r="3" ht="15" customHeight="1"/>
    <row r="4" ht="26" customHeight="1">
      <c r="A4" s="7" t="inlineStr">
        <is>
          <t>Member Name</t>
        </is>
      </c>
      <c r="B4" s="7" t="inlineStr">
        <is>
          <t>April</t>
        </is>
      </c>
      <c r="C4" s="7" t="inlineStr">
        <is>
          <t>May</t>
        </is>
      </c>
      <c r="D4" s="7" t="inlineStr">
        <is>
          <t>June</t>
        </is>
      </c>
      <c r="E4" s="7" t="inlineStr">
        <is>
          <t>July</t>
        </is>
      </c>
      <c r="F4" s="7" t="inlineStr">
        <is>
          <t>August</t>
        </is>
      </c>
      <c r="G4" s="7" t="inlineStr">
        <is>
          <t>September</t>
        </is>
      </c>
      <c r="H4" s="7" t="inlineStr">
        <is>
          <t>October</t>
        </is>
      </c>
      <c r="I4" s="7" t="inlineStr">
        <is>
          <t>November</t>
        </is>
      </c>
      <c r="J4" s="7" t="inlineStr">
        <is>
          <t>December</t>
        </is>
      </c>
      <c r="K4" s="7" t="inlineStr">
        <is>
          <t>January</t>
        </is>
      </c>
      <c r="L4" s="7" t="inlineStr">
        <is>
          <t>February</t>
        </is>
      </c>
      <c r="M4" s="7" t="inlineStr">
        <is>
          <t>March</t>
        </is>
      </c>
    </row>
    <row r="5" ht="20" customHeight="1">
      <c r="A5" s="9">
        <f>IFERROR(INDEX(tbl_Members[Full Name], ROW() - 4), "")</f>
        <v/>
      </c>
      <c r="B5" s="14">
        <f>IF([@[Member Name]]="", "", IFERROR(INDEX(tbl_Collections[Status], MATCH(1, INDEX((tbl_Collections[Member]=[@[Member Name]]) * (tbl_Collections[Month]=B$4), 0), 0)), "Not Paid"))</f>
        <v/>
      </c>
      <c r="C5" s="14">
        <f>IF([@[Member Name]]="", "", IFERROR(INDEX(tbl_Collections[Status], MATCH(1, INDEX((tbl_Collections[Member]=[@[Member Name]]) * (tbl_Collections[Month]=C$4), 0), 0)), "Not Paid"))</f>
        <v/>
      </c>
      <c r="D5" s="14">
        <f>IF([@[Member Name]]="", "", IFERROR(INDEX(tbl_Collections[Status], MATCH(1, INDEX((tbl_Collections[Member]=[@[Member Name]]) * (tbl_Collections[Month]=D$4), 0), 0)), "Not Paid"))</f>
        <v/>
      </c>
      <c r="E5" s="14">
        <f>IF([@[Member Name]]="", "", IFERROR(INDEX(tbl_Collections[Status], MATCH(1, INDEX((tbl_Collections[Member]=[@[Member Name]]) * (tbl_Collections[Month]=E$4), 0), 0)), "Not Paid"))</f>
        <v/>
      </c>
      <c r="F5" s="14">
        <f>IF([@[Member Name]]="", "", IFERROR(INDEX(tbl_Collections[Status], MATCH(1, INDEX((tbl_Collections[Member]=[@[Member Name]]) * (tbl_Collections[Month]=F$4), 0), 0)), "Not Paid"))</f>
        <v/>
      </c>
      <c r="G5" s="14">
        <f>IF([@[Member Name]]="", "", IFERROR(INDEX(tbl_Collections[Status], MATCH(1, INDEX((tbl_Collections[Member]=[@[Member Name]]) * (tbl_Collections[Month]=G$4), 0), 0)), "Not Paid"))</f>
        <v/>
      </c>
      <c r="H5" s="14">
        <f>IF([@[Member Name]]="", "", IFERROR(INDEX(tbl_Collections[Status], MATCH(1, INDEX((tbl_Collections[Member]=[@[Member Name]]) * (tbl_Collections[Month]=H$4), 0), 0)), "Not Paid"))</f>
        <v/>
      </c>
      <c r="I5" s="14">
        <f>IF([@[Member Name]]="", "", IFERROR(INDEX(tbl_Collections[Status], MATCH(1, INDEX((tbl_Collections[Member]=[@[Member Name]]) * (tbl_Collections[Month]=I$4), 0), 0)), "Not Paid"))</f>
        <v/>
      </c>
      <c r="J5" s="14">
        <f>IF([@[Member Name]]="", "", IFERROR(INDEX(tbl_Collections[Status], MATCH(1, INDEX((tbl_Collections[Member]=[@[Member Name]]) * (tbl_Collections[Month]=J$4), 0), 0)), "Not Paid"))</f>
        <v/>
      </c>
      <c r="K5" s="14">
        <f>IF([@[Member Name]]="", "", IFERROR(INDEX(tbl_Collections[Status], MATCH(1, INDEX((tbl_Collections[Member]=[@[Member Name]]) * (tbl_Collections[Month]=K$4), 0), 0)), "Not Paid"))</f>
        <v/>
      </c>
      <c r="L5" s="14">
        <f>IF([@[Member Name]]="", "", IFERROR(INDEX(tbl_Collections[Status], MATCH(1, INDEX((tbl_Collections[Member]=[@[Member Name]]) * (tbl_Collections[Month]=L$4), 0), 0)), "Not Paid"))</f>
        <v/>
      </c>
      <c r="M5" s="14">
        <f>IF([@[Member Name]]="", "", IFERROR(INDEX(tbl_Collections[Status], MATCH(1, INDEX((tbl_Collections[Member]=[@[Member Name]]) * (tbl_Collections[Month]=M$4), 0), 0)), "Not Paid"))</f>
        <v/>
      </c>
    </row>
    <row r="6" ht="20" customHeight="1">
      <c r="A6" s="12">
        <f>IFERROR(INDEX(tbl_Members[Full Name], ROW() - 4), "")</f>
        <v/>
      </c>
      <c r="B6" s="15">
        <f>IF([@[Member Name]]="", "", IFERROR(INDEX(tbl_Collections[Status], MATCH(1, INDEX((tbl_Collections[Member]=[@[Member Name]]) * (tbl_Collections[Month]=B$4), 0), 0)), "Not Paid"))</f>
        <v/>
      </c>
      <c r="C6" s="15">
        <f>IF([@[Member Name]]="", "", IFERROR(INDEX(tbl_Collections[Status], MATCH(1, INDEX((tbl_Collections[Member]=[@[Member Name]]) * (tbl_Collections[Month]=C$4), 0), 0)), "Not Paid"))</f>
        <v/>
      </c>
      <c r="D6" s="15">
        <f>IF([@[Member Name]]="", "", IFERROR(INDEX(tbl_Collections[Status], MATCH(1, INDEX((tbl_Collections[Member]=[@[Member Name]]) * (tbl_Collections[Month]=D$4), 0), 0)), "Not Paid"))</f>
        <v/>
      </c>
      <c r="E6" s="15">
        <f>IF([@[Member Name]]="", "", IFERROR(INDEX(tbl_Collections[Status], MATCH(1, INDEX((tbl_Collections[Member]=[@[Member Name]]) * (tbl_Collections[Month]=E$4), 0), 0)), "Not Paid"))</f>
        <v/>
      </c>
      <c r="F6" s="15">
        <f>IF([@[Member Name]]="", "", IFERROR(INDEX(tbl_Collections[Status], MATCH(1, INDEX((tbl_Collections[Member]=[@[Member Name]]) * (tbl_Collections[Month]=F$4), 0), 0)), "Not Paid"))</f>
        <v/>
      </c>
      <c r="G6" s="15">
        <f>IF([@[Member Name]]="", "", IFERROR(INDEX(tbl_Collections[Status], MATCH(1, INDEX((tbl_Collections[Member]=[@[Member Name]]) * (tbl_Collections[Month]=G$4), 0), 0)), "Not Paid"))</f>
        <v/>
      </c>
      <c r="H6" s="15">
        <f>IF([@[Member Name]]="", "", IFERROR(INDEX(tbl_Collections[Status], MATCH(1, INDEX((tbl_Collections[Member]=[@[Member Name]]) * (tbl_Collections[Month]=H$4), 0), 0)), "Not Paid"))</f>
        <v/>
      </c>
      <c r="I6" s="15">
        <f>IF([@[Member Name]]="", "", IFERROR(INDEX(tbl_Collections[Status], MATCH(1, INDEX((tbl_Collections[Member]=[@[Member Name]]) * (tbl_Collections[Month]=I$4), 0), 0)), "Not Paid"))</f>
        <v/>
      </c>
      <c r="J6" s="15">
        <f>IF([@[Member Name]]="", "", IFERROR(INDEX(tbl_Collections[Status], MATCH(1, INDEX((tbl_Collections[Member]=[@[Member Name]]) * (tbl_Collections[Month]=J$4), 0), 0)), "Not Paid"))</f>
        <v/>
      </c>
      <c r="K6" s="15">
        <f>IF([@[Member Name]]="", "", IFERROR(INDEX(tbl_Collections[Status], MATCH(1, INDEX((tbl_Collections[Member]=[@[Member Name]]) * (tbl_Collections[Month]=K$4), 0), 0)), "Not Paid"))</f>
        <v/>
      </c>
      <c r="L6" s="15">
        <f>IF([@[Member Name]]="", "", IFERROR(INDEX(tbl_Collections[Status], MATCH(1, INDEX((tbl_Collections[Member]=[@[Member Name]]) * (tbl_Collections[Month]=L$4), 0), 0)), "Not Paid"))</f>
        <v/>
      </c>
      <c r="M6" s="15">
        <f>IF([@[Member Name]]="", "", IFERROR(INDEX(tbl_Collections[Status], MATCH(1, INDEX((tbl_Collections[Member]=[@[Member Name]]) * (tbl_Collections[Month]=M$4), 0), 0)), "Not Paid"))</f>
        <v/>
      </c>
    </row>
    <row r="7" ht="20" customHeight="1">
      <c r="A7" s="9">
        <f>IFERROR(INDEX(tbl_Members[Full Name], ROW() - 4), "")</f>
        <v/>
      </c>
      <c r="B7" s="14">
        <f>IF([@[Member Name]]="", "", IFERROR(INDEX(tbl_Collections[Status], MATCH(1, INDEX((tbl_Collections[Member]=[@[Member Name]]) * (tbl_Collections[Month]=B$4), 0), 0)), "Not Paid"))</f>
        <v/>
      </c>
      <c r="C7" s="14">
        <f>IF([@[Member Name]]="", "", IFERROR(INDEX(tbl_Collections[Status], MATCH(1, INDEX((tbl_Collections[Member]=[@[Member Name]]) * (tbl_Collections[Month]=C$4), 0), 0)), "Not Paid"))</f>
        <v/>
      </c>
      <c r="D7" s="14">
        <f>IF([@[Member Name]]="", "", IFERROR(INDEX(tbl_Collections[Status], MATCH(1, INDEX((tbl_Collections[Member]=[@[Member Name]]) * (tbl_Collections[Month]=D$4), 0), 0)), "Not Paid"))</f>
        <v/>
      </c>
      <c r="E7" s="14">
        <f>IF([@[Member Name]]="", "", IFERROR(INDEX(tbl_Collections[Status], MATCH(1, INDEX((tbl_Collections[Member]=[@[Member Name]]) * (tbl_Collections[Month]=E$4), 0), 0)), "Not Paid"))</f>
        <v/>
      </c>
      <c r="F7" s="14">
        <f>IF([@[Member Name]]="", "", IFERROR(INDEX(tbl_Collections[Status], MATCH(1, INDEX((tbl_Collections[Member]=[@[Member Name]]) * (tbl_Collections[Month]=F$4), 0), 0)), "Not Paid"))</f>
        <v/>
      </c>
      <c r="G7" s="14">
        <f>IF([@[Member Name]]="", "", IFERROR(INDEX(tbl_Collections[Status], MATCH(1, INDEX((tbl_Collections[Member]=[@[Member Name]]) * (tbl_Collections[Month]=G$4), 0), 0)), "Not Paid"))</f>
        <v/>
      </c>
      <c r="H7" s="14">
        <f>IF([@[Member Name]]="", "", IFERROR(INDEX(tbl_Collections[Status], MATCH(1, INDEX((tbl_Collections[Member]=[@[Member Name]]) * (tbl_Collections[Month]=H$4), 0), 0)), "Not Paid"))</f>
        <v/>
      </c>
      <c r="I7" s="14">
        <f>IF([@[Member Name]]="", "", IFERROR(INDEX(tbl_Collections[Status], MATCH(1, INDEX((tbl_Collections[Member]=[@[Member Name]]) * (tbl_Collections[Month]=I$4), 0), 0)), "Not Paid"))</f>
        <v/>
      </c>
      <c r="J7" s="14">
        <f>IF([@[Member Name]]="", "", IFERROR(INDEX(tbl_Collections[Status], MATCH(1, INDEX((tbl_Collections[Member]=[@[Member Name]]) * (tbl_Collections[Month]=J$4), 0), 0)), "Not Paid"))</f>
        <v/>
      </c>
      <c r="K7" s="14">
        <f>IF([@[Member Name]]="", "", IFERROR(INDEX(tbl_Collections[Status], MATCH(1, INDEX((tbl_Collections[Member]=[@[Member Name]]) * (tbl_Collections[Month]=K$4), 0), 0)), "Not Paid"))</f>
        <v/>
      </c>
      <c r="L7" s="14">
        <f>IF([@[Member Name]]="", "", IFERROR(INDEX(tbl_Collections[Status], MATCH(1, INDEX((tbl_Collections[Member]=[@[Member Name]]) * (tbl_Collections[Month]=L$4), 0), 0)), "Not Paid"))</f>
        <v/>
      </c>
      <c r="M7" s="14">
        <f>IF([@[Member Name]]="", "", IFERROR(INDEX(tbl_Collections[Status], MATCH(1, INDEX((tbl_Collections[Member]=[@[Member Name]]) * (tbl_Collections[Month]=M$4), 0), 0)), "Not Paid"))</f>
        <v/>
      </c>
    </row>
    <row r="8" ht="20" customHeight="1">
      <c r="A8" s="12">
        <f>IFERROR(INDEX(tbl_Members[Full Name], ROW() - 4), "")</f>
        <v/>
      </c>
      <c r="B8" s="15">
        <f>IF([@[Member Name]]="", "", IFERROR(INDEX(tbl_Collections[Status], MATCH(1, INDEX((tbl_Collections[Member]=[@[Member Name]]) * (tbl_Collections[Month]=B$4), 0), 0)), "Not Paid"))</f>
        <v/>
      </c>
      <c r="C8" s="15">
        <f>IF([@[Member Name]]="", "", IFERROR(INDEX(tbl_Collections[Status], MATCH(1, INDEX((tbl_Collections[Member]=[@[Member Name]]) * (tbl_Collections[Month]=C$4), 0), 0)), "Not Paid"))</f>
        <v/>
      </c>
      <c r="D8" s="15">
        <f>IF([@[Member Name]]="", "", IFERROR(INDEX(tbl_Collections[Status], MATCH(1, INDEX((tbl_Collections[Member]=[@[Member Name]]) * (tbl_Collections[Month]=D$4), 0), 0)), "Not Paid"))</f>
        <v/>
      </c>
      <c r="E8" s="15">
        <f>IF([@[Member Name]]="", "", IFERROR(INDEX(tbl_Collections[Status], MATCH(1, INDEX((tbl_Collections[Member]=[@[Member Name]]) * (tbl_Collections[Month]=E$4), 0), 0)), "Not Paid"))</f>
        <v/>
      </c>
      <c r="F8" s="15">
        <f>IF([@[Member Name]]="", "", IFERROR(INDEX(tbl_Collections[Status], MATCH(1, INDEX((tbl_Collections[Member]=[@[Member Name]]) * (tbl_Collections[Month]=F$4), 0), 0)), "Not Paid"))</f>
        <v/>
      </c>
      <c r="G8" s="15">
        <f>IF([@[Member Name]]="", "", IFERROR(INDEX(tbl_Collections[Status], MATCH(1, INDEX((tbl_Collections[Member]=[@[Member Name]]) * (tbl_Collections[Month]=G$4), 0), 0)), "Not Paid"))</f>
        <v/>
      </c>
      <c r="H8" s="15">
        <f>IF([@[Member Name]]="", "", IFERROR(INDEX(tbl_Collections[Status], MATCH(1, INDEX((tbl_Collections[Member]=[@[Member Name]]) * (tbl_Collections[Month]=H$4), 0), 0)), "Not Paid"))</f>
        <v/>
      </c>
      <c r="I8" s="15">
        <f>IF([@[Member Name]]="", "", IFERROR(INDEX(tbl_Collections[Status], MATCH(1, INDEX((tbl_Collections[Member]=[@[Member Name]]) * (tbl_Collections[Month]=I$4), 0), 0)), "Not Paid"))</f>
        <v/>
      </c>
      <c r="J8" s="15">
        <f>IF([@[Member Name]]="", "", IFERROR(INDEX(tbl_Collections[Status], MATCH(1, INDEX((tbl_Collections[Member]=[@[Member Name]]) * (tbl_Collections[Month]=J$4), 0), 0)), "Not Paid"))</f>
        <v/>
      </c>
      <c r="K8" s="15">
        <f>IF([@[Member Name]]="", "", IFERROR(INDEX(tbl_Collections[Status], MATCH(1, INDEX((tbl_Collections[Member]=[@[Member Name]]) * (tbl_Collections[Month]=K$4), 0), 0)), "Not Paid"))</f>
        <v/>
      </c>
      <c r="L8" s="15">
        <f>IF([@[Member Name]]="", "", IFERROR(INDEX(tbl_Collections[Status], MATCH(1, INDEX((tbl_Collections[Member]=[@[Member Name]]) * (tbl_Collections[Month]=L$4), 0), 0)), "Not Paid"))</f>
        <v/>
      </c>
      <c r="M8" s="15">
        <f>IF([@[Member Name]]="", "", IFERROR(INDEX(tbl_Collections[Status], MATCH(1, INDEX((tbl_Collections[Member]=[@[Member Name]]) * (tbl_Collections[Month]=M$4), 0), 0)), "Not Paid"))</f>
        <v/>
      </c>
    </row>
    <row r="9" ht="20" customHeight="1">
      <c r="A9" s="9">
        <f>IFERROR(INDEX(tbl_Members[Full Name], ROW() - 4), "")</f>
        <v/>
      </c>
      <c r="B9" s="14">
        <f>IF([@[Member Name]]="", "", IFERROR(INDEX(tbl_Collections[Status], MATCH(1, INDEX((tbl_Collections[Member]=[@[Member Name]]) * (tbl_Collections[Month]=B$4), 0), 0)), "Not Paid"))</f>
        <v/>
      </c>
      <c r="C9" s="14">
        <f>IF([@[Member Name]]="", "", IFERROR(INDEX(tbl_Collections[Status], MATCH(1, INDEX((tbl_Collections[Member]=[@[Member Name]]) * (tbl_Collections[Month]=C$4), 0), 0)), "Not Paid"))</f>
        <v/>
      </c>
      <c r="D9" s="14">
        <f>IF([@[Member Name]]="", "", IFERROR(INDEX(tbl_Collections[Status], MATCH(1, INDEX((tbl_Collections[Member]=[@[Member Name]]) * (tbl_Collections[Month]=D$4), 0), 0)), "Not Paid"))</f>
        <v/>
      </c>
      <c r="E9" s="14">
        <f>IF([@[Member Name]]="", "", IFERROR(INDEX(tbl_Collections[Status], MATCH(1, INDEX((tbl_Collections[Member]=[@[Member Name]]) * (tbl_Collections[Month]=E$4), 0), 0)), "Not Paid"))</f>
        <v/>
      </c>
      <c r="F9" s="14">
        <f>IF([@[Member Name]]="", "", IFERROR(INDEX(tbl_Collections[Status], MATCH(1, INDEX((tbl_Collections[Member]=[@[Member Name]]) * (tbl_Collections[Month]=F$4), 0), 0)), "Not Paid"))</f>
        <v/>
      </c>
      <c r="G9" s="14">
        <f>IF([@[Member Name]]="", "", IFERROR(INDEX(tbl_Collections[Status], MATCH(1, INDEX((tbl_Collections[Member]=[@[Member Name]]) * (tbl_Collections[Month]=G$4), 0), 0)), "Not Paid"))</f>
        <v/>
      </c>
      <c r="H9" s="14">
        <f>IF([@[Member Name]]="", "", IFERROR(INDEX(tbl_Collections[Status], MATCH(1, INDEX((tbl_Collections[Member]=[@[Member Name]]) * (tbl_Collections[Month]=H$4), 0), 0)), "Not Paid"))</f>
        <v/>
      </c>
      <c r="I9" s="14">
        <f>IF([@[Member Name]]="", "", IFERROR(INDEX(tbl_Collections[Status], MATCH(1, INDEX((tbl_Collections[Member]=[@[Member Name]]) * (tbl_Collections[Month]=I$4), 0), 0)), "Not Paid"))</f>
        <v/>
      </c>
      <c r="J9" s="14">
        <f>IF([@[Member Name]]="", "", IFERROR(INDEX(tbl_Collections[Status], MATCH(1, INDEX((tbl_Collections[Member]=[@[Member Name]]) * (tbl_Collections[Month]=J$4), 0), 0)), "Not Paid"))</f>
        <v/>
      </c>
      <c r="K9" s="14">
        <f>IF([@[Member Name]]="", "", IFERROR(INDEX(tbl_Collections[Status], MATCH(1, INDEX((tbl_Collections[Member]=[@[Member Name]]) * (tbl_Collections[Month]=K$4), 0), 0)), "Not Paid"))</f>
        <v/>
      </c>
      <c r="L9" s="14">
        <f>IF([@[Member Name]]="", "", IFERROR(INDEX(tbl_Collections[Status], MATCH(1, INDEX((tbl_Collections[Member]=[@[Member Name]]) * (tbl_Collections[Month]=L$4), 0), 0)), "Not Paid"))</f>
        <v/>
      </c>
      <c r="M9" s="14">
        <f>IF([@[Member Name]]="", "", IFERROR(INDEX(tbl_Collections[Status], MATCH(1, INDEX((tbl_Collections[Member]=[@[Member Name]]) * (tbl_Collections[Month]=M$4), 0), 0)), "Not Paid"))</f>
        <v/>
      </c>
    </row>
    <row r="10" ht="20" customHeight="1">
      <c r="A10" s="12">
        <f>IFERROR(INDEX(tbl_Members[Full Name], ROW() - 4), "")</f>
        <v/>
      </c>
      <c r="B10" s="15">
        <f>IF([@[Member Name]]="", "", IFERROR(INDEX(tbl_Collections[Status], MATCH(1, INDEX((tbl_Collections[Member]=[@[Member Name]]) * (tbl_Collections[Month]=B$4), 0), 0)), "Not Paid"))</f>
        <v/>
      </c>
      <c r="C10" s="15">
        <f>IF([@[Member Name]]="", "", IFERROR(INDEX(tbl_Collections[Status], MATCH(1, INDEX((tbl_Collections[Member]=[@[Member Name]]) * (tbl_Collections[Month]=C$4), 0), 0)), "Not Paid"))</f>
        <v/>
      </c>
      <c r="D10" s="15">
        <f>IF([@[Member Name]]="", "", IFERROR(INDEX(tbl_Collections[Status], MATCH(1, INDEX((tbl_Collections[Member]=[@[Member Name]]) * (tbl_Collections[Month]=D$4), 0), 0)), "Not Paid"))</f>
        <v/>
      </c>
      <c r="E10" s="15">
        <f>IF([@[Member Name]]="", "", IFERROR(INDEX(tbl_Collections[Status], MATCH(1, INDEX((tbl_Collections[Member]=[@[Member Name]]) * (tbl_Collections[Month]=E$4), 0), 0)), "Not Paid"))</f>
        <v/>
      </c>
      <c r="F10" s="15">
        <f>IF([@[Member Name]]="", "", IFERROR(INDEX(tbl_Collections[Status], MATCH(1, INDEX((tbl_Collections[Member]=[@[Member Name]]) * (tbl_Collections[Month]=F$4), 0), 0)), "Not Paid"))</f>
        <v/>
      </c>
      <c r="G10" s="15">
        <f>IF([@[Member Name]]="", "", IFERROR(INDEX(tbl_Collections[Status], MATCH(1, INDEX((tbl_Collections[Member]=[@[Member Name]]) * (tbl_Collections[Month]=G$4), 0), 0)), "Not Paid"))</f>
        <v/>
      </c>
      <c r="H10" s="15">
        <f>IF([@[Member Name]]="", "", IFERROR(INDEX(tbl_Collections[Status], MATCH(1, INDEX((tbl_Collections[Member]=[@[Member Name]]) * (tbl_Collections[Month]=H$4), 0), 0)), "Not Paid"))</f>
        <v/>
      </c>
      <c r="I10" s="15">
        <f>IF([@[Member Name]]="", "", IFERROR(INDEX(tbl_Collections[Status], MATCH(1, INDEX((tbl_Collections[Member]=[@[Member Name]]) * (tbl_Collections[Month]=I$4), 0), 0)), "Not Paid"))</f>
        <v/>
      </c>
      <c r="J10" s="15">
        <f>IF([@[Member Name]]="", "", IFERROR(INDEX(tbl_Collections[Status], MATCH(1, INDEX((tbl_Collections[Member]=[@[Member Name]]) * (tbl_Collections[Month]=J$4), 0), 0)), "Not Paid"))</f>
        <v/>
      </c>
      <c r="K10" s="15">
        <f>IF([@[Member Name]]="", "", IFERROR(INDEX(tbl_Collections[Status], MATCH(1, INDEX((tbl_Collections[Member]=[@[Member Name]]) * (tbl_Collections[Month]=K$4), 0), 0)), "Not Paid"))</f>
        <v/>
      </c>
      <c r="L10" s="15">
        <f>IF([@[Member Name]]="", "", IFERROR(INDEX(tbl_Collections[Status], MATCH(1, INDEX((tbl_Collections[Member]=[@[Member Name]]) * (tbl_Collections[Month]=L$4), 0), 0)), "Not Paid"))</f>
        <v/>
      </c>
      <c r="M10" s="15">
        <f>IF([@[Member Name]]="", "", IFERROR(INDEX(tbl_Collections[Status], MATCH(1, INDEX((tbl_Collections[Member]=[@[Member Name]]) * (tbl_Collections[Month]=M$4), 0), 0)), "Not Paid"))</f>
        <v/>
      </c>
    </row>
    <row r="11" ht="20" customHeight="1">
      <c r="A11" s="9">
        <f>IFERROR(INDEX(tbl_Members[Full Name], ROW() - 4), "")</f>
        <v/>
      </c>
      <c r="B11" s="14">
        <f>IF([@[Member Name]]="", "", IFERROR(INDEX(tbl_Collections[Status], MATCH(1, INDEX((tbl_Collections[Member]=[@[Member Name]]) * (tbl_Collections[Month]=B$4), 0), 0)), "Not Paid"))</f>
        <v/>
      </c>
      <c r="C11" s="14">
        <f>IF([@[Member Name]]="", "", IFERROR(INDEX(tbl_Collections[Status], MATCH(1, INDEX((tbl_Collections[Member]=[@[Member Name]]) * (tbl_Collections[Month]=C$4), 0), 0)), "Not Paid"))</f>
        <v/>
      </c>
      <c r="D11" s="14">
        <f>IF([@[Member Name]]="", "", IFERROR(INDEX(tbl_Collections[Status], MATCH(1, INDEX((tbl_Collections[Member]=[@[Member Name]]) * (tbl_Collections[Month]=D$4), 0), 0)), "Not Paid"))</f>
        <v/>
      </c>
      <c r="E11" s="14">
        <f>IF([@[Member Name]]="", "", IFERROR(INDEX(tbl_Collections[Status], MATCH(1, INDEX((tbl_Collections[Member]=[@[Member Name]]) * (tbl_Collections[Month]=E$4), 0), 0)), "Not Paid"))</f>
        <v/>
      </c>
      <c r="F11" s="14">
        <f>IF([@[Member Name]]="", "", IFERROR(INDEX(tbl_Collections[Status], MATCH(1, INDEX((tbl_Collections[Member]=[@[Member Name]]) * (tbl_Collections[Month]=F$4), 0), 0)), "Not Paid"))</f>
        <v/>
      </c>
      <c r="G11" s="14">
        <f>IF([@[Member Name]]="", "", IFERROR(INDEX(tbl_Collections[Status], MATCH(1, INDEX((tbl_Collections[Member]=[@[Member Name]]) * (tbl_Collections[Month]=G$4), 0), 0)), "Not Paid"))</f>
        <v/>
      </c>
      <c r="H11" s="14">
        <f>IF([@[Member Name]]="", "", IFERROR(INDEX(tbl_Collections[Status], MATCH(1, INDEX((tbl_Collections[Member]=[@[Member Name]]) * (tbl_Collections[Month]=H$4), 0), 0)), "Not Paid"))</f>
        <v/>
      </c>
      <c r="I11" s="14">
        <f>IF([@[Member Name]]="", "", IFERROR(INDEX(tbl_Collections[Status], MATCH(1, INDEX((tbl_Collections[Member]=[@[Member Name]]) * (tbl_Collections[Month]=I$4), 0), 0)), "Not Paid"))</f>
        <v/>
      </c>
      <c r="J11" s="14">
        <f>IF([@[Member Name]]="", "", IFERROR(INDEX(tbl_Collections[Status], MATCH(1, INDEX((tbl_Collections[Member]=[@[Member Name]]) * (tbl_Collections[Month]=J$4), 0), 0)), "Not Paid"))</f>
        <v/>
      </c>
      <c r="K11" s="14">
        <f>IF([@[Member Name]]="", "", IFERROR(INDEX(tbl_Collections[Status], MATCH(1, INDEX((tbl_Collections[Member]=[@[Member Name]]) * (tbl_Collections[Month]=K$4), 0), 0)), "Not Paid"))</f>
        <v/>
      </c>
      <c r="L11" s="14">
        <f>IF([@[Member Name]]="", "", IFERROR(INDEX(tbl_Collections[Status], MATCH(1, INDEX((tbl_Collections[Member]=[@[Member Name]]) * (tbl_Collections[Month]=L$4), 0), 0)), "Not Paid"))</f>
        <v/>
      </c>
      <c r="M11" s="14">
        <f>IF([@[Member Name]]="", "", IFERROR(INDEX(tbl_Collections[Status], MATCH(1, INDEX((tbl_Collections[Member]=[@[Member Name]]) * (tbl_Collections[Month]=M$4), 0), 0)), "Not Paid"))</f>
        <v/>
      </c>
    </row>
    <row r="12" ht="20" customHeight="1">
      <c r="A12" s="12">
        <f>IFERROR(INDEX(tbl_Members[Full Name], ROW() - 4), "")</f>
        <v/>
      </c>
      <c r="B12" s="15">
        <f>IF([@[Member Name]]="", "", IFERROR(INDEX(tbl_Collections[Status], MATCH(1, INDEX((tbl_Collections[Member]=[@[Member Name]]) * (tbl_Collections[Month]=B$4), 0), 0)), "Not Paid"))</f>
        <v/>
      </c>
      <c r="C12" s="15">
        <f>IF([@[Member Name]]="", "", IFERROR(INDEX(tbl_Collections[Status], MATCH(1, INDEX((tbl_Collections[Member]=[@[Member Name]]) * (tbl_Collections[Month]=C$4), 0), 0)), "Not Paid"))</f>
        <v/>
      </c>
      <c r="D12" s="15">
        <f>IF([@[Member Name]]="", "", IFERROR(INDEX(tbl_Collections[Status], MATCH(1, INDEX((tbl_Collections[Member]=[@[Member Name]]) * (tbl_Collections[Month]=D$4), 0), 0)), "Not Paid"))</f>
        <v/>
      </c>
      <c r="E12" s="15">
        <f>IF([@[Member Name]]="", "", IFERROR(INDEX(tbl_Collections[Status], MATCH(1, INDEX((tbl_Collections[Member]=[@[Member Name]]) * (tbl_Collections[Month]=E$4), 0), 0)), "Not Paid"))</f>
        <v/>
      </c>
      <c r="F12" s="15">
        <f>IF([@[Member Name]]="", "", IFERROR(INDEX(tbl_Collections[Status], MATCH(1, INDEX((tbl_Collections[Member]=[@[Member Name]]) * (tbl_Collections[Month]=F$4), 0), 0)), "Not Paid"))</f>
        <v/>
      </c>
      <c r="G12" s="15">
        <f>IF([@[Member Name]]="", "", IFERROR(INDEX(tbl_Collections[Status], MATCH(1, INDEX((tbl_Collections[Member]=[@[Member Name]]) * (tbl_Collections[Month]=G$4), 0), 0)), "Not Paid"))</f>
        <v/>
      </c>
      <c r="H12" s="15">
        <f>IF([@[Member Name]]="", "", IFERROR(INDEX(tbl_Collections[Status], MATCH(1, INDEX((tbl_Collections[Member]=[@[Member Name]]) * (tbl_Collections[Month]=H$4), 0), 0)), "Not Paid"))</f>
        <v/>
      </c>
      <c r="I12" s="15">
        <f>IF([@[Member Name]]="", "", IFERROR(INDEX(tbl_Collections[Status], MATCH(1, INDEX((tbl_Collections[Member]=[@[Member Name]]) * (tbl_Collections[Month]=I$4), 0), 0)), "Not Paid"))</f>
        <v/>
      </c>
      <c r="J12" s="15">
        <f>IF([@[Member Name]]="", "", IFERROR(INDEX(tbl_Collections[Status], MATCH(1, INDEX((tbl_Collections[Member]=[@[Member Name]]) * (tbl_Collections[Month]=J$4), 0), 0)), "Not Paid"))</f>
        <v/>
      </c>
      <c r="K12" s="15">
        <f>IF([@[Member Name]]="", "", IFERROR(INDEX(tbl_Collections[Status], MATCH(1, INDEX((tbl_Collections[Member]=[@[Member Name]]) * (tbl_Collections[Month]=K$4), 0), 0)), "Not Paid"))</f>
        <v/>
      </c>
      <c r="L12" s="15">
        <f>IF([@[Member Name]]="", "", IFERROR(INDEX(tbl_Collections[Status], MATCH(1, INDEX((tbl_Collections[Member]=[@[Member Name]]) * (tbl_Collections[Month]=L$4), 0), 0)), "Not Paid"))</f>
        <v/>
      </c>
      <c r="M12" s="15">
        <f>IF([@[Member Name]]="", "", IFERROR(INDEX(tbl_Collections[Status], MATCH(1, INDEX((tbl_Collections[Member]=[@[Member Name]]) * (tbl_Collections[Month]=M$4), 0), 0)), "Not Paid"))</f>
        <v/>
      </c>
    </row>
    <row r="13" ht="20" customHeight="1">
      <c r="A13" s="9">
        <f>IFERROR(INDEX(tbl_Members[Full Name], ROW() - 4), "")</f>
        <v/>
      </c>
      <c r="B13" s="14">
        <f>IF([@[Member Name]]="", "", IFERROR(INDEX(tbl_Collections[Status], MATCH(1, INDEX((tbl_Collections[Member]=[@[Member Name]]) * (tbl_Collections[Month]=B$4), 0), 0)), "Not Paid"))</f>
        <v/>
      </c>
      <c r="C13" s="14">
        <f>IF([@[Member Name]]="", "", IFERROR(INDEX(tbl_Collections[Status], MATCH(1, INDEX((tbl_Collections[Member]=[@[Member Name]]) * (tbl_Collections[Month]=C$4), 0), 0)), "Not Paid"))</f>
        <v/>
      </c>
      <c r="D13" s="14">
        <f>IF([@[Member Name]]="", "", IFERROR(INDEX(tbl_Collections[Status], MATCH(1, INDEX((tbl_Collections[Member]=[@[Member Name]]) * (tbl_Collections[Month]=D$4), 0), 0)), "Not Paid"))</f>
        <v/>
      </c>
      <c r="E13" s="14">
        <f>IF([@[Member Name]]="", "", IFERROR(INDEX(tbl_Collections[Status], MATCH(1, INDEX((tbl_Collections[Member]=[@[Member Name]]) * (tbl_Collections[Month]=E$4), 0), 0)), "Not Paid"))</f>
        <v/>
      </c>
      <c r="F13" s="14">
        <f>IF([@[Member Name]]="", "", IFERROR(INDEX(tbl_Collections[Status], MATCH(1, INDEX((tbl_Collections[Member]=[@[Member Name]]) * (tbl_Collections[Month]=F$4), 0), 0)), "Not Paid"))</f>
        <v/>
      </c>
      <c r="G13" s="14">
        <f>IF([@[Member Name]]="", "", IFERROR(INDEX(tbl_Collections[Status], MATCH(1, INDEX((tbl_Collections[Member]=[@[Member Name]]) * (tbl_Collections[Month]=G$4), 0), 0)), "Not Paid"))</f>
        <v/>
      </c>
      <c r="H13" s="14">
        <f>IF([@[Member Name]]="", "", IFERROR(INDEX(tbl_Collections[Status], MATCH(1, INDEX((tbl_Collections[Member]=[@[Member Name]]) * (tbl_Collections[Month]=H$4), 0), 0)), "Not Paid"))</f>
        <v/>
      </c>
      <c r="I13" s="14">
        <f>IF([@[Member Name]]="", "", IFERROR(INDEX(tbl_Collections[Status], MATCH(1, INDEX((tbl_Collections[Member]=[@[Member Name]]) * (tbl_Collections[Month]=I$4), 0), 0)), "Not Paid"))</f>
        <v/>
      </c>
      <c r="J13" s="14">
        <f>IF([@[Member Name]]="", "", IFERROR(INDEX(tbl_Collections[Status], MATCH(1, INDEX((tbl_Collections[Member]=[@[Member Name]]) * (tbl_Collections[Month]=J$4), 0), 0)), "Not Paid"))</f>
        <v/>
      </c>
      <c r="K13" s="14">
        <f>IF([@[Member Name]]="", "", IFERROR(INDEX(tbl_Collections[Status], MATCH(1, INDEX((tbl_Collections[Member]=[@[Member Name]]) * (tbl_Collections[Month]=K$4), 0), 0)), "Not Paid"))</f>
        <v/>
      </c>
      <c r="L13" s="14">
        <f>IF([@[Member Name]]="", "", IFERROR(INDEX(tbl_Collections[Status], MATCH(1, INDEX((tbl_Collections[Member]=[@[Member Name]]) * (tbl_Collections[Month]=L$4), 0), 0)), "Not Paid"))</f>
        <v/>
      </c>
      <c r="M13" s="14">
        <f>IF([@[Member Name]]="", "", IFERROR(INDEX(tbl_Collections[Status], MATCH(1, INDEX((tbl_Collections[Member]=[@[Member Name]]) * (tbl_Collections[Month]=M$4), 0), 0)), "Not Paid"))</f>
        <v/>
      </c>
    </row>
    <row r="14" ht="20" customHeight="1">
      <c r="A14" s="12">
        <f>IFERROR(INDEX(tbl_Members[Full Name], ROW() - 4), "")</f>
        <v/>
      </c>
      <c r="B14" s="15">
        <f>IF([@[Member Name]]="", "", IFERROR(INDEX(tbl_Collections[Status], MATCH(1, INDEX((tbl_Collections[Member]=[@[Member Name]]) * (tbl_Collections[Month]=B$4), 0), 0)), "Not Paid"))</f>
        <v/>
      </c>
      <c r="C14" s="15">
        <f>IF([@[Member Name]]="", "", IFERROR(INDEX(tbl_Collections[Status], MATCH(1, INDEX((tbl_Collections[Member]=[@[Member Name]]) * (tbl_Collections[Month]=C$4), 0), 0)), "Not Paid"))</f>
        <v/>
      </c>
      <c r="D14" s="15">
        <f>IF([@[Member Name]]="", "", IFERROR(INDEX(tbl_Collections[Status], MATCH(1, INDEX((tbl_Collections[Member]=[@[Member Name]]) * (tbl_Collections[Month]=D$4), 0), 0)), "Not Paid"))</f>
        <v/>
      </c>
      <c r="E14" s="15">
        <f>IF([@[Member Name]]="", "", IFERROR(INDEX(tbl_Collections[Status], MATCH(1, INDEX((tbl_Collections[Member]=[@[Member Name]]) * (tbl_Collections[Month]=E$4), 0), 0)), "Not Paid"))</f>
        <v/>
      </c>
      <c r="F14" s="15">
        <f>IF([@[Member Name]]="", "", IFERROR(INDEX(tbl_Collections[Status], MATCH(1, INDEX((tbl_Collections[Member]=[@[Member Name]]) * (tbl_Collections[Month]=F$4), 0), 0)), "Not Paid"))</f>
        <v/>
      </c>
      <c r="G14" s="15">
        <f>IF([@[Member Name]]="", "", IFERROR(INDEX(tbl_Collections[Status], MATCH(1, INDEX((tbl_Collections[Member]=[@[Member Name]]) * (tbl_Collections[Month]=G$4), 0), 0)), "Not Paid"))</f>
        <v/>
      </c>
      <c r="H14" s="15">
        <f>IF([@[Member Name]]="", "", IFERROR(INDEX(tbl_Collections[Status], MATCH(1, INDEX((tbl_Collections[Member]=[@[Member Name]]) * (tbl_Collections[Month]=H$4), 0), 0)), "Not Paid"))</f>
        <v/>
      </c>
      <c r="I14" s="15">
        <f>IF([@[Member Name]]="", "", IFERROR(INDEX(tbl_Collections[Status], MATCH(1, INDEX((tbl_Collections[Member]=[@[Member Name]]) * (tbl_Collections[Month]=I$4), 0), 0)), "Not Paid"))</f>
        <v/>
      </c>
      <c r="J14" s="15">
        <f>IF([@[Member Name]]="", "", IFERROR(INDEX(tbl_Collections[Status], MATCH(1, INDEX((tbl_Collections[Member]=[@[Member Name]]) * (tbl_Collections[Month]=J$4), 0), 0)), "Not Paid"))</f>
        <v/>
      </c>
      <c r="K14" s="15">
        <f>IF([@[Member Name]]="", "", IFERROR(INDEX(tbl_Collections[Status], MATCH(1, INDEX((tbl_Collections[Member]=[@[Member Name]]) * (tbl_Collections[Month]=K$4), 0), 0)), "Not Paid"))</f>
        <v/>
      </c>
      <c r="L14" s="15">
        <f>IF([@[Member Name]]="", "", IFERROR(INDEX(tbl_Collections[Status], MATCH(1, INDEX((tbl_Collections[Member]=[@[Member Name]]) * (tbl_Collections[Month]=L$4), 0), 0)), "Not Paid"))</f>
        <v/>
      </c>
      <c r="M14" s="15">
        <f>IF([@[Member Name]]="", "", IFERROR(INDEX(tbl_Collections[Status], MATCH(1, INDEX((tbl_Collections[Member]=[@[Member Name]]) * (tbl_Collections[Month]=M$4), 0), 0)), "Not Paid"))</f>
        <v/>
      </c>
    </row>
    <row r="15" ht="20" customHeight="1">
      <c r="A15" s="9">
        <f>IFERROR(INDEX(tbl_Members[Full Name], ROW() - 4), "")</f>
        <v/>
      </c>
      <c r="B15" s="14">
        <f>IF([@[Member Name]]="", "", IFERROR(INDEX(tbl_Collections[Status], MATCH(1, INDEX((tbl_Collections[Member]=[@[Member Name]]) * (tbl_Collections[Month]=B$4), 0), 0)), "Not Paid"))</f>
        <v/>
      </c>
      <c r="C15" s="14">
        <f>IF([@[Member Name]]="", "", IFERROR(INDEX(tbl_Collections[Status], MATCH(1, INDEX((tbl_Collections[Member]=[@[Member Name]]) * (tbl_Collections[Month]=C$4), 0), 0)), "Not Paid"))</f>
        <v/>
      </c>
      <c r="D15" s="14">
        <f>IF([@[Member Name]]="", "", IFERROR(INDEX(tbl_Collections[Status], MATCH(1, INDEX((tbl_Collections[Member]=[@[Member Name]]) * (tbl_Collections[Month]=D$4), 0), 0)), "Not Paid"))</f>
        <v/>
      </c>
      <c r="E15" s="14">
        <f>IF([@[Member Name]]="", "", IFERROR(INDEX(tbl_Collections[Status], MATCH(1, INDEX((tbl_Collections[Member]=[@[Member Name]]) * (tbl_Collections[Month]=E$4), 0), 0)), "Not Paid"))</f>
        <v/>
      </c>
      <c r="F15" s="14">
        <f>IF([@[Member Name]]="", "", IFERROR(INDEX(tbl_Collections[Status], MATCH(1, INDEX((tbl_Collections[Member]=[@[Member Name]]) * (tbl_Collections[Month]=F$4), 0), 0)), "Not Paid"))</f>
        <v/>
      </c>
      <c r="G15" s="14">
        <f>IF([@[Member Name]]="", "", IFERROR(INDEX(tbl_Collections[Status], MATCH(1, INDEX((tbl_Collections[Member]=[@[Member Name]]) * (tbl_Collections[Month]=G$4), 0), 0)), "Not Paid"))</f>
        <v/>
      </c>
      <c r="H15" s="14">
        <f>IF([@[Member Name]]="", "", IFERROR(INDEX(tbl_Collections[Status], MATCH(1, INDEX((tbl_Collections[Member]=[@[Member Name]]) * (tbl_Collections[Month]=H$4), 0), 0)), "Not Paid"))</f>
        <v/>
      </c>
      <c r="I15" s="14">
        <f>IF([@[Member Name]]="", "", IFERROR(INDEX(tbl_Collections[Status], MATCH(1, INDEX((tbl_Collections[Member]=[@[Member Name]]) * (tbl_Collections[Month]=I$4), 0), 0)), "Not Paid"))</f>
        <v/>
      </c>
      <c r="J15" s="14">
        <f>IF([@[Member Name]]="", "", IFERROR(INDEX(tbl_Collections[Status], MATCH(1, INDEX((tbl_Collections[Member]=[@[Member Name]]) * (tbl_Collections[Month]=J$4), 0), 0)), "Not Paid"))</f>
        <v/>
      </c>
      <c r="K15" s="14">
        <f>IF([@[Member Name]]="", "", IFERROR(INDEX(tbl_Collections[Status], MATCH(1, INDEX((tbl_Collections[Member]=[@[Member Name]]) * (tbl_Collections[Month]=K$4), 0), 0)), "Not Paid"))</f>
        <v/>
      </c>
      <c r="L15" s="14">
        <f>IF([@[Member Name]]="", "", IFERROR(INDEX(tbl_Collections[Status], MATCH(1, INDEX((tbl_Collections[Member]=[@[Member Name]]) * (tbl_Collections[Month]=L$4), 0), 0)), "Not Paid"))</f>
        <v/>
      </c>
      <c r="M15" s="14">
        <f>IF([@[Member Name]]="", "", IFERROR(INDEX(tbl_Collections[Status], MATCH(1, INDEX((tbl_Collections[Member]=[@[Member Name]]) * (tbl_Collections[Month]=M$4), 0), 0)), "Not Paid"))</f>
        <v/>
      </c>
    </row>
    <row r="16" ht="20" customHeight="1">
      <c r="A16" s="12">
        <f>IFERROR(INDEX(tbl_Members[Full Name], ROW() - 4), "")</f>
        <v/>
      </c>
      <c r="B16" s="15">
        <f>IF([@[Member Name]]="", "", IFERROR(INDEX(tbl_Collections[Status], MATCH(1, INDEX((tbl_Collections[Member]=[@[Member Name]]) * (tbl_Collections[Month]=B$4), 0), 0)), "Not Paid"))</f>
        <v/>
      </c>
      <c r="C16" s="15">
        <f>IF([@[Member Name]]="", "", IFERROR(INDEX(tbl_Collections[Status], MATCH(1, INDEX((tbl_Collections[Member]=[@[Member Name]]) * (tbl_Collections[Month]=C$4), 0), 0)), "Not Paid"))</f>
        <v/>
      </c>
      <c r="D16" s="15">
        <f>IF([@[Member Name]]="", "", IFERROR(INDEX(tbl_Collections[Status], MATCH(1, INDEX((tbl_Collections[Member]=[@[Member Name]]) * (tbl_Collections[Month]=D$4), 0), 0)), "Not Paid"))</f>
        <v/>
      </c>
      <c r="E16" s="15">
        <f>IF([@[Member Name]]="", "", IFERROR(INDEX(tbl_Collections[Status], MATCH(1, INDEX((tbl_Collections[Member]=[@[Member Name]]) * (tbl_Collections[Month]=E$4), 0), 0)), "Not Paid"))</f>
        <v/>
      </c>
      <c r="F16" s="15">
        <f>IF([@[Member Name]]="", "", IFERROR(INDEX(tbl_Collections[Status], MATCH(1, INDEX((tbl_Collections[Member]=[@[Member Name]]) * (tbl_Collections[Month]=F$4), 0), 0)), "Not Paid"))</f>
        <v/>
      </c>
      <c r="G16" s="15">
        <f>IF([@[Member Name]]="", "", IFERROR(INDEX(tbl_Collections[Status], MATCH(1, INDEX((tbl_Collections[Member]=[@[Member Name]]) * (tbl_Collections[Month]=G$4), 0), 0)), "Not Paid"))</f>
        <v/>
      </c>
      <c r="H16" s="15">
        <f>IF([@[Member Name]]="", "", IFERROR(INDEX(tbl_Collections[Status], MATCH(1, INDEX((tbl_Collections[Member]=[@[Member Name]]) * (tbl_Collections[Month]=H$4), 0), 0)), "Not Paid"))</f>
        <v/>
      </c>
      <c r="I16" s="15">
        <f>IF([@[Member Name]]="", "", IFERROR(INDEX(tbl_Collections[Status], MATCH(1, INDEX((tbl_Collections[Member]=[@[Member Name]]) * (tbl_Collections[Month]=I$4), 0), 0)), "Not Paid"))</f>
        <v/>
      </c>
      <c r="J16" s="15">
        <f>IF([@[Member Name]]="", "", IFERROR(INDEX(tbl_Collections[Status], MATCH(1, INDEX((tbl_Collections[Member]=[@[Member Name]]) * (tbl_Collections[Month]=J$4), 0), 0)), "Not Paid"))</f>
        <v/>
      </c>
      <c r="K16" s="15">
        <f>IF([@[Member Name]]="", "", IFERROR(INDEX(tbl_Collections[Status], MATCH(1, INDEX((tbl_Collections[Member]=[@[Member Name]]) * (tbl_Collections[Month]=K$4), 0), 0)), "Not Paid"))</f>
        <v/>
      </c>
      <c r="L16" s="15">
        <f>IF([@[Member Name]]="", "", IFERROR(INDEX(tbl_Collections[Status], MATCH(1, INDEX((tbl_Collections[Member]=[@[Member Name]]) * (tbl_Collections[Month]=L$4), 0), 0)), "Not Paid"))</f>
        <v/>
      </c>
      <c r="M16" s="15">
        <f>IF([@[Member Name]]="", "", IFERROR(INDEX(tbl_Collections[Status], MATCH(1, INDEX((tbl_Collections[Member]=[@[Member Name]]) * (tbl_Collections[Month]=M$4), 0), 0)), "Not Paid"))</f>
        <v/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M2"/>
    <mergeCell ref="A1:M1"/>
  </mergeCells>
  <conditionalFormatting sqref="B5:M16">
    <cfRule type="cellIs" priority="1" operator="equal" dxfId="0">
      <formula>"Not Paid"</formula>
    </cfRule>
    <cfRule type="cellIs" priority="2" operator="equal" dxfId="1">
      <formula>"Partial"</formula>
    </cfRule>
    <cfRule type="cellIs" priority="3" operator="equal" dxfId="2">
      <formula>"Paid"</formula>
    </cfRule>
    <cfRule type="cellIs" priority="4" operator="equal" dxfId="3">
      <formula>"Late"</formula>
    </cfRule>
  </conditionalFormatting>
  <pageMargins left="0.5" right="0.5" top="0.75" bottom="0.7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Z10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25" customWidth="1" min="5" max="5"/>
    <col width="16" customWidth="1" min="6" max="6"/>
    <col width="18" customWidth="1" min="7" max="7"/>
    <col width="16" customWidth="1" min="8" max="8"/>
    <col width="16" customWidth="1" min="9" max="9"/>
    <col width="4" customWidth="1" min="10" max="10"/>
    <col width="16" customWidth="1" min="11" max="11"/>
    <col width="18" customWidth="1" min="12" max="12"/>
    <col width="18" customWidth="1" min="13" max="13"/>
    <col width="16" customWidth="1" min="14" max="14"/>
    <col width="18" customWidth="1" min="15" max="15"/>
  </cols>
  <sheetData>
    <row r="1" ht="40" customHeight="1">
      <c r="A1" s="1" t="inlineStr">
        <is>
          <t>BOARDING HOUSE TRANSACTIONAL EXPENSE MASTER LOG</t>
        </is>
      </c>
    </row>
    <row r="2" ht="24" customHeight="1">
      <c r="A2" s="2" t="inlineStr">
        <is>
          <t>Record miscellaneous boarding expenditures (left) and monitor aggregated monthly collections vs expenses (right)</t>
        </is>
      </c>
    </row>
    <row r="3" ht="15" customHeight="1"/>
    <row r="4" ht="26" customHeight="1">
      <c r="A4" s="7" t="inlineStr">
        <is>
          <t>Expense ID</t>
        </is>
      </c>
      <c r="B4" s="7" t="inlineStr">
        <is>
          <t>Date</t>
        </is>
      </c>
      <c r="C4" s="7" t="inlineStr">
        <is>
          <t>Month</t>
        </is>
      </c>
      <c r="D4" s="7" t="inlineStr">
        <is>
          <t>Category</t>
        </is>
      </c>
      <c r="E4" s="7" t="inlineStr">
        <is>
          <t>Description</t>
        </is>
      </c>
      <c r="F4" s="7" t="inlineStr">
        <is>
          <t>Amount (LKR)</t>
        </is>
      </c>
      <c r="G4" s="7" t="inlineStr">
        <is>
          <t>Paid To</t>
        </is>
      </c>
      <c r="H4" s="7" t="inlineStr">
        <is>
          <t>Payment Method</t>
        </is>
      </c>
      <c r="I4" s="7" t="inlineStr">
        <is>
          <t>Reference No</t>
        </is>
      </c>
      <c r="K4" s="7" t="inlineStr">
        <is>
          <t>Year-Month</t>
        </is>
      </c>
      <c r="L4" s="7" t="inlineStr">
        <is>
          <t>Total Collections</t>
        </is>
      </c>
      <c r="M4" s="7" t="inlineStr">
        <is>
          <t>Total Expenses</t>
        </is>
      </c>
      <c r="N4" s="7" t="inlineStr">
        <is>
          <t>Difference</t>
        </is>
      </c>
      <c r="O4" s="7" t="inlineStr">
        <is>
          <t>Carry Forward</t>
        </is>
      </c>
    </row>
    <row r="5" ht="20" customHeight="1">
      <c r="A5" s="14">
        <f>"EXP" &amp; TEXT(ROW() - 4, "000")</f>
        <v/>
      </c>
      <c r="B5" s="38" t="n"/>
      <c r="C5" s="21">
        <f>IF([@Date]="", "", TEXT([@Date], "MMMM YYYY"))</f>
        <v/>
      </c>
      <c r="D5" s="37" t="n"/>
      <c r="E5" s="36" t="n"/>
      <c r="F5" s="47" t="n">
        <v>0</v>
      </c>
      <c r="G5" s="36" t="n"/>
      <c r="H5" s="37" t="n"/>
      <c r="I5" s="37" t="n"/>
      <c r="K5" s="21" t="inlineStr">
        <is>
          <t>April 2026</t>
        </is>
      </c>
      <c r="L5" s="10">
        <f>SUMIFS(tbl_Collections[Total Paid], tbl_Collections[Month], [@[Year-Month]])</f>
        <v/>
      </c>
      <c r="M5" s="10">
        <f>SUMIFS(tbl_UtilityBills[Total Expenses], tbl_UtilityBills[Month], [@[Year-Month]])+SUMIFS(tbl_ExpenseHistory[Amount (LKR)], tbl_ExpenseHistory[Month], [@[Year-Month]])</f>
        <v/>
      </c>
      <c r="N5" s="10">
        <f>[@[Total Collections]]-[@[Total Expenses]]</f>
        <v/>
      </c>
      <c r="O5" s="10">
        <f>[@[Difference]]</f>
        <v/>
      </c>
    </row>
    <row r="6" ht="20" customHeight="1">
      <c r="A6" s="15">
        <f>"EXP" &amp; TEXT(ROW() - 4, "000")</f>
        <v/>
      </c>
      <c r="B6" s="41" t="n"/>
      <c r="C6" s="22">
        <f>IF([@Date]="", "", TEXT([@Date], "MMMM YYYY"))</f>
        <v/>
      </c>
      <c r="D6" s="40" t="n"/>
      <c r="E6" s="39" t="n"/>
      <c r="F6" s="49" t="n">
        <v>0</v>
      </c>
      <c r="G6" s="39" t="n"/>
      <c r="H6" s="40" t="n"/>
      <c r="I6" s="40" t="n"/>
      <c r="K6" s="22" t="inlineStr">
        <is>
          <t>May 2026</t>
        </is>
      </c>
      <c r="L6" s="13">
        <f>SUMIFS(tbl_Collections[Total Paid], tbl_Collections[Month], [@[Year-Month]])</f>
        <v/>
      </c>
      <c r="M6" s="13">
        <f>SUMIFS(tbl_UtilityBills[Total Expenses], tbl_UtilityBills[Month], [@[Year-Month]])+SUMIFS(tbl_ExpenseHistory[Amount (LKR)], tbl_ExpenseHistory[Month], [@[Year-Month]])</f>
        <v/>
      </c>
      <c r="N6" s="13">
        <f>[@[Total Collections]]-[@[Total Expenses]]</f>
        <v/>
      </c>
      <c r="O6" s="13">
        <f>O5+[@[Difference]]</f>
        <v/>
      </c>
    </row>
    <row r="7" ht="20" customHeight="1">
      <c r="A7" s="14">
        <f>"EXP" &amp; TEXT(ROW() - 4, "000")</f>
        <v/>
      </c>
      <c r="B7" s="38" t="n"/>
      <c r="C7" s="21">
        <f>IF([@Date]="", "", TEXT([@Date], "MMMM YYYY"))</f>
        <v/>
      </c>
      <c r="D7" s="37" t="n"/>
      <c r="E7" s="36" t="n"/>
      <c r="F7" s="47" t="n">
        <v>0</v>
      </c>
      <c r="G7" s="36" t="n"/>
      <c r="H7" s="37" t="n"/>
      <c r="I7" s="37" t="n"/>
      <c r="K7" s="21" t="inlineStr">
        <is>
          <t>June 2026</t>
        </is>
      </c>
      <c r="L7" s="10">
        <f>SUMIFS(tbl_Collections[Total Paid], tbl_Collections[Month], [@[Year-Month]])</f>
        <v/>
      </c>
      <c r="M7" s="10">
        <f>SUMIFS(tbl_UtilityBills[Total Expenses], tbl_UtilityBills[Month], [@[Year-Month]])+SUMIFS(tbl_ExpenseHistory[Amount (LKR)], tbl_ExpenseHistory[Month], [@[Year-Month]])</f>
        <v/>
      </c>
      <c r="N7" s="10">
        <f>[@[Total Collections]]-[@[Total Expenses]]</f>
        <v/>
      </c>
      <c r="O7" s="10">
        <f>O6+[@[Difference]]</f>
        <v/>
      </c>
    </row>
    <row r="8" ht="20" customHeight="1">
      <c r="A8" s="15">
        <f>"EXP" &amp; TEXT(ROW() - 4, "000")</f>
        <v/>
      </c>
      <c r="B8" s="41" t="n"/>
      <c r="C8" s="22">
        <f>IF([@Date]="", "", TEXT([@Date], "MMMM YYYY"))</f>
        <v/>
      </c>
      <c r="D8" s="40" t="n"/>
      <c r="E8" s="39" t="n"/>
      <c r="F8" s="49" t="n">
        <v>0</v>
      </c>
      <c r="G8" s="39" t="n"/>
      <c r="H8" s="40" t="n"/>
      <c r="I8" s="40" t="n"/>
      <c r="K8" s="22" t="inlineStr">
        <is>
          <t>July 2026</t>
        </is>
      </c>
      <c r="L8" s="13">
        <f>SUMIFS(tbl_Collections[Total Paid], tbl_Collections[Month], [@[Year-Month]])</f>
        <v/>
      </c>
      <c r="M8" s="13">
        <f>SUMIFS(tbl_UtilityBills[Total Expenses], tbl_UtilityBills[Month], [@[Year-Month]])+SUMIFS(tbl_ExpenseHistory[Amount (LKR)], tbl_ExpenseHistory[Month], [@[Year-Month]])</f>
        <v/>
      </c>
      <c r="N8" s="13">
        <f>[@[Total Collections]]-[@[Total Expenses]]</f>
        <v/>
      </c>
      <c r="O8" s="13">
        <f>O7+[@[Difference]]</f>
        <v/>
      </c>
    </row>
    <row r="9" ht="20" customHeight="1">
      <c r="A9" s="14">
        <f>"EXP" &amp; TEXT(ROW() - 4, "000")</f>
        <v/>
      </c>
      <c r="B9" s="38" t="n"/>
      <c r="C9" s="21">
        <f>IF([@Date]="", "", TEXT([@Date], "MMMM YYYY"))</f>
        <v/>
      </c>
      <c r="D9" s="37" t="n"/>
      <c r="E9" s="36" t="n"/>
      <c r="F9" s="47" t="n">
        <v>0</v>
      </c>
      <c r="G9" s="36" t="n"/>
      <c r="H9" s="37" t="n"/>
      <c r="I9" s="37" t="n"/>
      <c r="K9" s="21" t="inlineStr">
        <is>
          <t>August 2026</t>
        </is>
      </c>
      <c r="L9" s="10">
        <f>SUMIFS(tbl_Collections[Total Paid], tbl_Collections[Month], [@[Year-Month]])</f>
        <v/>
      </c>
      <c r="M9" s="10">
        <f>SUMIFS(tbl_UtilityBills[Total Expenses], tbl_UtilityBills[Month], [@[Year-Month]])+SUMIFS(tbl_ExpenseHistory[Amount (LKR)], tbl_ExpenseHistory[Month], [@[Year-Month]])</f>
        <v/>
      </c>
      <c r="N9" s="10">
        <f>[@[Total Collections]]-[@[Total Expenses]]</f>
        <v/>
      </c>
      <c r="O9" s="10">
        <f>O8+[@[Difference]]</f>
        <v/>
      </c>
    </row>
    <row r="10" ht="20" customHeight="1">
      <c r="A10" s="15">
        <f>"EXP" &amp; TEXT(ROW() - 4, "000")</f>
        <v/>
      </c>
      <c r="B10" s="41" t="n"/>
      <c r="C10" s="22">
        <f>IF([@Date]="", "", TEXT([@Date], "MMMM YYYY"))</f>
        <v/>
      </c>
      <c r="D10" s="40" t="n"/>
      <c r="E10" s="39" t="n"/>
      <c r="F10" s="49" t="n">
        <v>0</v>
      </c>
      <c r="G10" s="39" t="n"/>
      <c r="H10" s="40" t="n"/>
      <c r="I10" s="40" t="n"/>
      <c r="K10" s="22" t="inlineStr">
        <is>
          <t>September 2026</t>
        </is>
      </c>
      <c r="L10" s="13">
        <f>SUMIFS(tbl_Collections[Total Paid], tbl_Collections[Month], [@[Year-Month]])</f>
        <v/>
      </c>
      <c r="M10" s="13">
        <f>SUMIFS(tbl_UtilityBills[Total Expenses], tbl_UtilityBills[Month], [@[Year-Month]])+SUMIFS(tbl_ExpenseHistory[Amount (LKR)], tbl_ExpenseHistory[Month], [@[Year-Month]])</f>
        <v/>
      </c>
      <c r="N10" s="13">
        <f>[@[Total Collections]]-[@[Total Expenses]]</f>
        <v/>
      </c>
      <c r="O10" s="13">
        <f>O9+[@[Difference]]</f>
        <v/>
      </c>
    </row>
    <row r="11" ht="20" customHeight="1">
      <c r="A11" s="14">
        <f>"EXP" &amp; TEXT(ROW() - 4, "000")</f>
        <v/>
      </c>
      <c r="B11" s="38" t="n"/>
      <c r="C11" s="21">
        <f>IF([@Date]="", "", TEXT([@Date], "MMMM YYYY"))</f>
        <v/>
      </c>
      <c r="D11" s="37" t="n"/>
      <c r="E11" s="36" t="n"/>
      <c r="F11" s="47" t="n">
        <v>0</v>
      </c>
      <c r="G11" s="36" t="n"/>
      <c r="H11" s="37" t="n"/>
      <c r="I11" s="37" t="n"/>
      <c r="K11" s="21" t="inlineStr">
        <is>
          <t>October 2026</t>
        </is>
      </c>
      <c r="L11" s="10">
        <f>SUMIFS(tbl_Collections[Total Paid], tbl_Collections[Month], [@[Year-Month]])</f>
        <v/>
      </c>
      <c r="M11" s="10">
        <f>SUMIFS(tbl_UtilityBills[Total Expenses], tbl_UtilityBills[Month], [@[Year-Month]])+SUMIFS(tbl_ExpenseHistory[Amount (LKR)], tbl_ExpenseHistory[Month], [@[Year-Month]])</f>
        <v/>
      </c>
      <c r="N11" s="10">
        <f>[@[Total Collections]]-[@[Total Expenses]]</f>
        <v/>
      </c>
      <c r="O11" s="10">
        <f>O10+[@[Difference]]</f>
        <v/>
      </c>
    </row>
    <row r="12" ht="20" customHeight="1">
      <c r="A12" s="15">
        <f>"EXP" &amp; TEXT(ROW() - 4, "000")</f>
        <v/>
      </c>
      <c r="B12" s="41" t="n"/>
      <c r="C12" s="22">
        <f>IF([@Date]="", "", TEXT([@Date], "MMMM YYYY"))</f>
        <v/>
      </c>
      <c r="D12" s="40" t="n"/>
      <c r="E12" s="39" t="n"/>
      <c r="F12" s="49" t="n">
        <v>0</v>
      </c>
      <c r="G12" s="39" t="n"/>
      <c r="H12" s="40" t="n"/>
      <c r="I12" s="40" t="n"/>
      <c r="K12" s="22" t="inlineStr">
        <is>
          <t>November 2026</t>
        </is>
      </c>
      <c r="L12" s="13">
        <f>SUMIFS(tbl_Collections[Total Paid], tbl_Collections[Month], [@[Year-Month]])</f>
        <v/>
      </c>
      <c r="M12" s="13">
        <f>SUMIFS(tbl_UtilityBills[Total Expenses], tbl_UtilityBills[Month], [@[Year-Month]])+SUMIFS(tbl_ExpenseHistory[Amount (LKR)], tbl_ExpenseHistory[Month], [@[Year-Month]])</f>
        <v/>
      </c>
      <c r="N12" s="13">
        <f>[@[Total Collections]]-[@[Total Expenses]]</f>
        <v/>
      </c>
      <c r="O12" s="13">
        <f>O11+[@[Difference]]</f>
        <v/>
      </c>
    </row>
    <row r="13" ht="20" customHeight="1">
      <c r="A13" s="14">
        <f>"EXP" &amp; TEXT(ROW() - 4, "000")</f>
        <v/>
      </c>
      <c r="B13" s="38" t="n"/>
      <c r="C13" s="21">
        <f>IF([@Date]="", "", TEXT([@Date], "MMMM YYYY"))</f>
        <v/>
      </c>
      <c r="D13" s="37" t="n"/>
      <c r="E13" s="36" t="n"/>
      <c r="F13" s="47" t="n">
        <v>0</v>
      </c>
      <c r="G13" s="36" t="n"/>
      <c r="H13" s="37" t="n"/>
      <c r="I13" s="37" t="n"/>
      <c r="K13" s="21" t="inlineStr">
        <is>
          <t>December 2026</t>
        </is>
      </c>
      <c r="L13" s="10">
        <f>SUMIFS(tbl_Collections[Total Paid], tbl_Collections[Month], [@[Year-Month]])</f>
        <v/>
      </c>
      <c r="M13" s="10">
        <f>SUMIFS(tbl_UtilityBills[Total Expenses], tbl_UtilityBills[Month], [@[Year-Month]])+SUMIFS(tbl_ExpenseHistory[Amount (LKR)], tbl_ExpenseHistory[Month], [@[Year-Month]])</f>
        <v/>
      </c>
      <c r="N13" s="10">
        <f>[@[Total Collections]]-[@[Total Expenses]]</f>
        <v/>
      </c>
      <c r="O13" s="10">
        <f>O12+[@[Difference]]</f>
        <v/>
      </c>
    </row>
    <row r="14" ht="20" customHeight="1">
      <c r="A14" s="15">
        <f>"EXP" &amp; TEXT(ROW() - 4, "000")</f>
        <v/>
      </c>
      <c r="B14" s="41" t="n"/>
      <c r="C14" s="22">
        <f>IF([@Date]="", "", TEXT([@Date], "MMMM YYYY"))</f>
        <v/>
      </c>
      <c r="D14" s="40" t="n"/>
      <c r="E14" s="39" t="n"/>
      <c r="F14" s="49" t="n">
        <v>0</v>
      </c>
      <c r="G14" s="39" t="n"/>
      <c r="H14" s="40" t="n"/>
      <c r="I14" s="40" t="n"/>
      <c r="K14" s="22" t="inlineStr">
        <is>
          <t>January 2027</t>
        </is>
      </c>
      <c r="L14" s="13">
        <f>SUMIFS(tbl_Collections[Total Paid], tbl_Collections[Month], [@[Year-Month]])</f>
        <v/>
      </c>
      <c r="M14" s="13">
        <f>SUMIFS(tbl_UtilityBills[Total Expenses], tbl_UtilityBills[Month], [@[Year-Month]])+SUMIFS(tbl_ExpenseHistory[Amount (LKR)], tbl_ExpenseHistory[Month], [@[Year-Month]])</f>
        <v/>
      </c>
      <c r="N14" s="13">
        <f>[@[Total Collections]]-[@[Total Expenses]]</f>
        <v/>
      </c>
      <c r="O14" s="13">
        <f>O13+[@[Difference]]</f>
        <v/>
      </c>
    </row>
    <row r="15" ht="20" customHeight="1">
      <c r="A15" s="14">
        <f>"EXP" &amp; TEXT(ROW() - 4, "000")</f>
        <v/>
      </c>
      <c r="B15" s="38" t="n"/>
      <c r="C15" s="21">
        <f>IF([@Date]="", "", TEXT([@Date], "MMMM YYYY"))</f>
        <v/>
      </c>
      <c r="D15" s="37" t="n"/>
      <c r="E15" s="36" t="n"/>
      <c r="F15" s="47" t="n">
        <v>0</v>
      </c>
      <c r="G15" s="36" t="n"/>
      <c r="H15" s="37" t="n"/>
      <c r="I15" s="37" t="n"/>
      <c r="K15" s="21" t="inlineStr">
        <is>
          <t>February 2027</t>
        </is>
      </c>
      <c r="L15" s="10">
        <f>SUMIFS(tbl_Collections[Total Paid], tbl_Collections[Month], [@[Year-Month]])</f>
        <v/>
      </c>
      <c r="M15" s="10">
        <f>SUMIFS(tbl_UtilityBills[Total Expenses], tbl_UtilityBills[Month], [@[Year-Month]])+SUMIFS(tbl_ExpenseHistory[Amount (LKR)], tbl_ExpenseHistory[Month], [@[Year-Month]])</f>
        <v/>
      </c>
      <c r="N15" s="10">
        <f>[@[Total Collections]]-[@[Total Expenses]]</f>
        <v/>
      </c>
      <c r="O15" s="10">
        <f>O14+[@[Difference]]</f>
        <v/>
      </c>
    </row>
    <row r="16" ht="20" customHeight="1">
      <c r="K16" s="22" t="inlineStr">
        <is>
          <t>March 2027</t>
        </is>
      </c>
      <c r="L16" s="13">
        <f>SUMIFS(tbl_Collections[Total Paid], tbl_Collections[Month], [@[Year-Month]])</f>
        <v/>
      </c>
      <c r="M16" s="13">
        <f>SUMIFS(tbl_UtilityBills[Total Expenses], tbl_UtilityBills[Month], [@[Year-Month]])+SUMIFS(tbl_ExpenseHistory[Amount (LKR)], tbl_ExpenseHistory[Month], [@[Year-Month]])</f>
        <v/>
      </c>
      <c r="N16" s="13">
        <f>[@[Total Collections]]-[@[Total Expenses]]</f>
        <v/>
      </c>
      <c r="O16" s="13">
        <f>O15+[@[Difference]]</f>
        <v/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O1"/>
    <mergeCell ref="A2:O2"/>
  </mergeCells>
  <dataValidations count="3">
    <dataValidation sqref="B5:B15" showDropDown="0" showInputMessage="0" showErrorMessage="0" allowBlank="1" errorTitle="Invalid Date" error="Date must be greater than or equal to 2000-01-01." promptTitle="Date" prompt="Enter Transaction Date (YYYY-MM-DD)" type="date" operator="greaterThanOrEqual">
      <formula1>DATE(2000,1,1)</formula1>
    </dataValidation>
    <dataValidation sqref="F5:F15" showDropDown="0" showInputMessage="0" showErrorMessage="0" allowBlank="1" errorTitle="Invalid Amount" error="Amount must be greater than or equal to 0." promptTitle="Amount" prompt="Enter expense amount" type="decimal" operator="greaterThanOrEqual">
      <formula1>0</formula1>
    </dataValidation>
    <dataValidation sqref="D5:D15" showDropDown="0" showInputMessage="0" showErrorMessage="0" allowBlank="1" errorTitle="Invalid Category" error="Category must be selected from the list: Repairs, Cleaning, Supplies, Other" promptTitle="Category" prompt="Select Category" type="list">
      <formula1>"Repairs,Cleaning,Supplies,Other"</formula1>
    </dataValidation>
  </dataValidations>
  <pageMargins left="0.5" right="0.5" top="0.75" bottom="0.75" header="0.5" footer="0.5"/>
  <pageSetup orientation="portrait" paperSize="9" fitToHeight="0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Z10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8" customWidth="1" min="4" max="4"/>
    <col width="18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40" customHeight="1">
      <c r="A1" s="1" t="inlineStr">
        <is>
          <t>BOARDING HOUSE SYSTEM METRICS &amp; TREND ANALYTICS</t>
        </is>
      </c>
    </row>
    <row r="2" ht="24" customHeight="1">
      <c r="A2" s="2" t="inlineStr">
        <is>
          <t>Overview of cost variance, collections distribution, highest utility expenditures and roommate payment ledgers</t>
        </is>
      </c>
    </row>
    <row r="3" ht="15" customHeight="1"/>
    <row r="4" ht="18" customHeight="1">
      <c r="B4" s="3" t="inlineStr">
        <is>
          <t>HIGHEST UTILITY BILL</t>
        </is>
      </c>
      <c r="C4" s="18" t="n"/>
      <c r="D4" s="3" t="inlineStr">
        <is>
          <t>LOWEST UTILITY BILL</t>
        </is>
      </c>
      <c r="E4" s="18" t="n"/>
      <c r="F4" s="3" t="inlineStr">
        <is>
          <t>AVERAGE MONTHLY BILL</t>
        </is>
      </c>
      <c r="G4" s="18" t="n"/>
      <c r="H4" s="3" t="inlineStr">
        <is>
          <t>AVERAGE COLLECTION</t>
        </is>
      </c>
      <c r="I4" s="18" t="n"/>
      <c r="J4" s="3" t="inlineStr">
        <is>
          <t>TOTAL OUTSTANDING DUE</t>
        </is>
      </c>
      <c r="K4" s="18" t="n"/>
      <c r="L4" s="3" t="inlineStr">
        <is>
          <t>MAX MONTHLY DEFICIT</t>
        </is>
      </c>
      <c r="M4" s="18" t="n"/>
    </row>
    <row r="5" ht="28" customHeight="1">
      <c r="B5" s="5">
        <f>MAX(tbl_UtilityBills[Total Expenses])</f>
        <v/>
      </c>
      <c r="C5" s="18" t="n"/>
      <c r="D5" s="5">
        <f>IF(SUM(tbl_UtilityBills[Total Expenses])=0, 0, MINIFS(tbl_UtilityBills[Total Expenses], tbl_UtilityBills[Total Expenses], "&gt;0"))</f>
        <v/>
      </c>
      <c r="E5" s="18" t="n"/>
      <c r="F5" s="5">
        <f>IFERROR(AVERAGE(tbl_UtilityBills[Total Expenses]), 0)</f>
        <v/>
      </c>
      <c r="G5" s="18" t="n"/>
      <c r="H5" s="5">
        <f>IFERROR(AVERAGE(tbl_Collections[Total Paid]), 0)</f>
        <v/>
      </c>
      <c r="I5" s="18" t="n"/>
      <c r="J5" s="5">
        <f>SUM(tbl_Collections[Outstanding Balance])</f>
        <v/>
      </c>
      <c r="K5" s="18" t="n"/>
      <c r="L5" s="5">
        <f>MAX(tbl_MonthlySummary[Deficit])</f>
        <v/>
      </c>
      <c r="M5" s="18" t="n"/>
    </row>
    <row r="6" ht="15" customHeight="1"/>
    <row r="7"/>
    <row r="8" ht="26" customHeight="1">
      <c r="B8" s="7" t="inlineStr">
        <is>
          <t>Member Name</t>
        </is>
      </c>
      <c r="C8" s="7" t="inlineStr">
        <is>
          <t>Total Rent Paid</t>
        </is>
      </c>
      <c r="D8" s="7" t="inlineStr">
        <is>
          <t>Total Utilities Paid</t>
        </is>
      </c>
      <c r="E8" s="7" t="inlineStr">
        <is>
          <t>Outstanding Balances</t>
        </is>
      </c>
    </row>
    <row r="9" ht="20" customHeight="1">
      <c r="B9" s="9">
        <f>IFERROR(INDEX(tbl_Members[Full Name], ROW() - ROW(tbl_MemberAnalytics[[#Headers],[Member Name]])), "")</f>
        <v/>
      </c>
      <c r="C9" s="10">
        <f>IF([@[Member Name]]="", "", SUMIFS(tbl_Collections[Partial Payment], tbl_Collections[Member], [@[Member Name]]))</f>
        <v/>
      </c>
      <c r="D9" s="10">
        <f>IF([@[Member Name]]="", "", SUMIFS(tbl_Collections[Extra Contribution], tbl_Collections[Member], [@[Member Name]]))</f>
        <v/>
      </c>
      <c r="E9" s="10">
        <f>IF([@[Member Name]]="", "", SUMIFS(tbl_Collections[Outstanding Balance], tbl_Collections[Member], [@[Member Name]]))</f>
        <v/>
      </c>
    </row>
    <row r="10" ht="20" customHeight="1">
      <c r="B10" s="12">
        <f>IFERROR(INDEX(tbl_Members[Full Name], ROW() - ROW(tbl_MemberAnalytics[[#Headers],[Member Name]])), "")</f>
        <v/>
      </c>
      <c r="C10" s="13">
        <f>IF([@[Member Name]]="", "", SUMIFS(tbl_Collections[Partial Payment], tbl_Collections[Member], [@[Member Name]]))</f>
        <v/>
      </c>
      <c r="D10" s="13">
        <f>IF([@[Member Name]]="", "", SUMIFS(tbl_Collections[Extra Contribution], tbl_Collections[Member], [@[Member Name]]))</f>
        <v/>
      </c>
      <c r="E10" s="13">
        <f>IF([@[Member Name]]="", "", SUMIFS(tbl_Collections[Outstanding Balance], tbl_Collections[Member], [@[Member Name]]))</f>
        <v/>
      </c>
    </row>
    <row r="11" ht="20" customHeight="1">
      <c r="B11" s="9">
        <f>IFERROR(INDEX(tbl_Members[Full Name], ROW() - ROW(tbl_MemberAnalytics[[#Headers],[Member Name]])), "")</f>
        <v/>
      </c>
      <c r="C11" s="10">
        <f>IF([@[Member Name]]="", "", SUMIFS(tbl_Collections[Partial Payment], tbl_Collections[Member], [@[Member Name]]))</f>
        <v/>
      </c>
      <c r="D11" s="10">
        <f>IF([@[Member Name]]="", "", SUMIFS(tbl_Collections[Extra Contribution], tbl_Collections[Member], [@[Member Name]]))</f>
        <v/>
      </c>
      <c r="E11" s="10">
        <f>IF([@[Member Name]]="", "", SUMIFS(tbl_Collections[Outstanding Balance], tbl_Collections[Member], [@[Member Name]]))</f>
        <v/>
      </c>
    </row>
    <row r="12" ht="20" customHeight="1">
      <c r="B12" s="12">
        <f>IFERROR(INDEX(tbl_Members[Full Name], ROW() - ROW(tbl_MemberAnalytics[[#Headers],[Member Name]])), "")</f>
        <v/>
      </c>
      <c r="C12" s="13">
        <f>IF([@[Member Name]]="", "", SUMIFS(tbl_Collections[Partial Payment], tbl_Collections[Member], [@[Member Name]]))</f>
        <v/>
      </c>
      <c r="D12" s="13">
        <f>IF([@[Member Name]]="", "", SUMIFS(tbl_Collections[Extra Contribution], tbl_Collections[Member], [@[Member Name]]))</f>
        <v/>
      </c>
      <c r="E12" s="13">
        <f>IF([@[Member Name]]="", "", SUMIFS(tbl_Collections[Outstanding Balance], tbl_Collections[Member], [@[Member Name]]))</f>
        <v/>
      </c>
    </row>
    <row r="13" ht="20" customHeight="1">
      <c r="B13" s="9">
        <f>IFERROR(INDEX(tbl_Members[Full Name], ROW() - ROW(tbl_MemberAnalytics[[#Headers],[Member Name]])), "")</f>
        <v/>
      </c>
      <c r="C13" s="10">
        <f>IF([@[Member Name]]="", "", SUMIFS(tbl_Collections[Partial Payment], tbl_Collections[Member], [@[Member Name]]))</f>
        <v/>
      </c>
      <c r="D13" s="10">
        <f>IF([@[Member Name]]="", "", SUMIFS(tbl_Collections[Extra Contribution], tbl_Collections[Member], [@[Member Name]]))</f>
        <v/>
      </c>
      <c r="E13" s="10">
        <f>IF([@[Member Name]]="", "", SUMIFS(tbl_Collections[Outstanding Balance], tbl_Collections[Member], [@[Member Name]]))</f>
        <v/>
      </c>
    </row>
    <row r="14" ht="20" customHeight="1">
      <c r="B14" s="12">
        <f>IFERROR(INDEX(tbl_Members[Full Name], ROW() - ROW(tbl_MemberAnalytics[[#Headers],[Member Name]])), "")</f>
        <v/>
      </c>
      <c r="C14" s="13">
        <f>IF([@[Member Name]]="", "", SUMIFS(tbl_Collections[Partial Payment], tbl_Collections[Member], [@[Member Name]]))</f>
        <v/>
      </c>
      <c r="D14" s="13">
        <f>IF([@[Member Name]]="", "", SUMIFS(tbl_Collections[Extra Contribution], tbl_Collections[Member], [@[Member Name]]))</f>
        <v/>
      </c>
      <c r="E14" s="13">
        <f>IF([@[Member Name]]="", "", SUMIFS(tbl_Collections[Outstanding Balance], tbl_Collections[Member], [@[Member Name]]))</f>
        <v/>
      </c>
    </row>
    <row r="15" ht="20" customHeight="1">
      <c r="B15" s="9">
        <f>IFERROR(INDEX(tbl_Members[Full Name], ROW() - ROW(tbl_MemberAnalytics[[#Headers],[Member Name]])), "")</f>
        <v/>
      </c>
      <c r="C15" s="10">
        <f>IF([@[Member Name]]="", "", SUMIFS(tbl_Collections[Partial Payment], tbl_Collections[Member], [@[Member Name]]))</f>
        <v/>
      </c>
      <c r="D15" s="10">
        <f>IF([@[Member Name]]="", "", SUMIFS(tbl_Collections[Extra Contribution], tbl_Collections[Member], [@[Member Name]]))</f>
        <v/>
      </c>
      <c r="E15" s="10">
        <f>IF([@[Member Name]]="", "", SUMIFS(tbl_Collections[Outstanding Balance], tbl_Collections[Member], [@[Member Name]]))</f>
        <v/>
      </c>
    </row>
    <row r="16" ht="20" customHeight="1">
      <c r="B16" s="12">
        <f>IFERROR(INDEX(tbl_Members[Full Name], ROW() - ROW(tbl_MemberAnalytics[[#Headers],[Member Name]])), "")</f>
        <v/>
      </c>
      <c r="C16" s="13">
        <f>IF([@[Member Name]]="", "", SUMIFS(tbl_Collections[Partial Payment], tbl_Collections[Member], [@[Member Name]]))</f>
        <v/>
      </c>
      <c r="D16" s="13">
        <f>IF([@[Member Name]]="", "", SUMIFS(tbl_Collections[Extra Contribution], tbl_Collections[Member], [@[Member Name]]))</f>
        <v/>
      </c>
      <c r="E16" s="13">
        <f>IF([@[Member Name]]="", "", SUMIFS(tbl_Collections[Outstanding Balance], tbl_Collections[Member], [@[Member Name]]))</f>
        <v/>
      </c>
    </row>
    <row r="17" ht="20" customHeight="1">
      <c r="B17" s="9">
        <f>IFERROR(INDEX(tbl_Members[Full Name], ROW() - ROW(tbl_MemberAnalytics[[#Headers],[Member Name]])), "")</f>
        <v/>
      </c>
      <c r="C17" s="10">
        <f>IF([@[Member Name]]="", "", SUMIFS(tbl_Collections[Partial Payment], tbl_Collections[Member], [@[Member Name]]))</f>
        <v/>
      </c>
      <c r="D17" s="10">
        <f>IF([@[Member Name]]="", "", SUMIFS(tbl_Collections[Extra Contribution], tbl_Collections[Member], [@[Member Name]]))</f>
        <v/>
      </c>
      <c r="E17" s="10">
        <f>IF([@[Member Name]]="", "", SUMIFS(tbl_Collections[Outstanding Balance], tbl_Collections[Member], [@[Member Name]]))</f>
        <v/>
      </c>
    </row>
    <row r="18" ht="20" customHeight="1">
      <c r="B18" s="12">
        <f>IFERROR(INDEX(tbl_Members[Full Name], ROW() - ROW(tbl_MemberAnalytics[[#Headers],[Member Name]])), "")</f>
        <v/>
      </c>
      <c r="C18" s="13">
        <f>IF([@[Member Name]]="", "", SUMIFS(tbl_Collections[Partial Payment], tbl_Collections[Member], [@[Member Name]]))</f>
        <v/>
      </c>
      <c r="D18" s="13">
        <f>IF([@[Member Name]]="", "", SUMIFS(tbl_Collections[Extra Contribution], tbl_Collections[Member], [@[Member Name]]))</f>
        <v/>
      </c>
      <c r="E18" s="13">
        <f>IF([@[Member Name]]="", "", SUMIFS(tbl_Collections[Outstanding Balance], tbl_Collections[Member], [@[Member Name]]))</f>
        <v/>
      </c>
    </row>
    <row r="19" ht="20" customHeight="1">
      <c r="B19" s="9">
        <f>IFERROR(INDEX(tbl_Members[Full Name], ROW() - ROW(tbl_MemberAnalytics[[#Headers],[Member Name]])), "")</f>
        <v/>
      </c>
      <c r="C19" s="10">
        <f>IF([@[Member Name]]="", "", SUMIFS(tbl_Collections[Partial Payment], tbl_Collections[Member], [@[Member Name]]))</f>
        <v/>
      </c>
      <c r="D19" s="10">
        <f>IF([@[Member Name]]="", "", SUMIFS(tbl_Collections[Extra Contribution], tbl_Collections[Member], [@[Member Name]]))</f>
        <v/>
      </c>
      <c r="E19" s="10">
        <f>IF([@[Member Name]]="", "", SUMIFS(tbl_Collections[Outstanding Balance], tbl_Collections[Member], [@[Member Name]]))</f>
        <v/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4">
    <mergeCell ref="F4:G4"/>
    <mergeCell ref="J4:K4"/>
    <mergeCell ref="L4:M4"/>
    <mergeCell ref="J5:K5"/>
    <mergeCell ref="B5:C5"/>
    <mergeCell ref="A2:N2"/>
    <mergeCell ref="D5:E5"/>
    <mergeCell ref="F5:G5"/>
    <mergeCell ref="H5:I5"/>
    <mergeCell ref="D4:E4"/>
    <mergeCell ref="L5:M5"/>
    <mergeCell ref="H4:I4"/>
    <mergeCell ref="B4:C4"/>
    <mergeCell ref="A1:N1"/>
  </mergeCells>
  <pageMargins left="0.5" right="0.5" top="0.75" bottom="0.75" header="0.5" footer="0.5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Z10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20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 ht="36" customHeight="1">
      <c r="B1" s="25" t="inlineStr">
        <is>
          <t>BOARDING HOUSE UTILITY MANAGEMENT SYSTEM - REPORTS BINDER</t>
        </is>
      </c>
    </row>
    <row r="2" ht="15" customHeight="1"/>
    <row r="3" ht="24" customHeight="1">
      <c r="B3" s="26" t="inlineStr">
        <is>
          <t>1. MONTHLY COLLECTION SUMMARY REPORT</t>
        </is>
      </c>
    </row>
    <row r="4" ht="24" customHeight="1">
      <c r="B4" s="27" t="inlineStr">
        <is>
          <t>Month</t>
        </is>
      </c>
      <c r="C4" s="27" t="inlineStr">
        <is>
          <t>Member Name</t>
        </is>
      </c>
      <c r="D4" s="27" t="inlineStr">
        <is>
          <t>Rent Due</t>
        </is>
      </c>
      <c r="E4" s="27" t="inlineStr">
        <is>
          <t>Utilities Due</t>
        </is>
      </c>
      <c r="F4" s="27" t="inlineStr">
        <is>
          <t>Total Paid</t>
        </is>
      </c>
      <c r="G4" s="27" t="inlineStr">
        <is>
          <t>Outstanding</t>
        </is>
      </c>
    </row>
    <row r="5" ht="18" customHeight="1">
      <c r="B5" s="28">
        <f>IFERROR(INDEX(tbl_Collections[Month], ROW() - 4), "")</f>
        <v/>
      </c>
      <c r="C5" s="29">
        <f>IFERROR(INDEX(tbl_Collections[Member], ROW() - 4), "")</f>
        <v/>
      </c>
      <c r="D5" s="30">
        <f>IFERROR(INDEX(tbl_Collections[Standard Contribution], ROW() - 4), 0)</f>
        <v/>
      </c>
      <c r="E5" s="30">
        <f>IFERROR(INDEX(tbl_Collections[Extra Contribution], ROW() - 4), 0)</f>
        <v/>
      </c>
      <c r="F5" s="30">
        <f>IFERROR(INDEX(tbl_Collections[Total Paid], ROW() - 4), 0)</f>
        <v/>
      </c>
      <c r="G5" s="30">
        <f>IFERROR(INDEX(tbl_Collections[Outstanding Balance], ROW() - 4), 0)</f>
        <v/>
      </c>
    </row>
    <row r="6" ht="18" customHeight="1">
      <c r="B6" s="31">
        <f>IFERROR(INDEX(tbl_Collections[Month], ROW() - 4), "")</f>
        <v/>
      </c>
      <c r="C6" s="32">
        <f>IFERROR(INDEX(tbl_Collections[Member], ROW() - 4), "")</f>
        <v/>
      </c>
      <c r="D6" s="33">
        <f>IFERROR(INDEX(tbl_Collections[Standard Contribution], ROW() - 4), 0)</f>
        <v/>
      </c>
      <c r="E6" s="33">
        <f>IFERROR(INDEX(tbl_Collections[Extra Contribution], ROW() - 4), 0)</f>
        <v/>
      </c>
      <c r="F6" s="33">
        <f>IFERROR(INDEX(tbl_Collections[Total Paid], ROW() - 4), 0)</f>
        <v/>
      </c>
      <c r="G6" s="33">
        <f>IFERROR(INDEX(tbl_Collections[Outstanding Balance], ROW() - 4), 0)</f>
        <v/>
      </c>
    </row>
    <row r="7" ht="18" customHeight="1">
      <c r="B7" s="28">
        <f>IFERROR(INDEX(tbl_Collections[Month], ROW() - 4), "")</f>
        <v/>
      </c>
      <c r="C7" s="29">
        <f>IFERROR(INDEX(tbl_Collections[Member], ROW() - 4), "")</f>
        <v/>
      </c>
      <c r="D7" s="30">
        <f>IFERROR(INDEX(tbl_Collections[Standard Contribution], ROW() - 4), 0)</f>
        <v/>
      </c>
      <c r="E7" s="30">
        <f>IFERROR(INDEX(tbl_Collections[Extra Contribution], ROW() - 4), 0)</f>
        <v/>
      </c>
      <c r="F7" s="30">
        <f>IFERROR(INDEX(tbl_Collections[Total Paid], ROW() - 4), 0)</f>
        <v/>
      </c>
      <c r="G7" s="30">
        <f>IFERROR(INDEX(tbl_Collections[Outstanding Balance], ROW() - 4), 0)</f>
        <v/>
      </c>
    </row>
    <row r="8" ht="18" customHeight="1">
      <c r="B8" s="31">
        <f>IFERROR(INDEX(tbl_Collections[Month], ROW() - 4), "")</f>
        <v/>
      </c>
      <c r="C8" s="32">
        <f>IFERROR(INDEX(tbl_Collections[Member], ROW() - 4), "")</f>
        <v/>
      </c>
      <c r="D8" s="33">
        <f>IFERROR(INDEX(tbl_Collections[Standard Contribution], ROW() - 4), 0)</f>
        <v/>
      </c>
      <c r="E8" s="33">
        <f>IFERROR(INDEX(tbl_Collections[Extra Contribution], ROW() - 4), 0)</f>
        <v/>
      </c>
      <c r="F8" s="33">
        <f>IFERROR(INDEX(tbl_Collections[Total Paid], ROW() - 4), 0)</f>
        <v/>
      </c>
      <c r="G8" s="33">
        <f>IFERROR(INDEX(tbl_Collections[Outstanding Balance], ROW() - 4), 0)</f>
        <v/>
      </c>
    </row>
    <row r="9" ht="18" customHeight="1">
      <c r="B9" s="28">
        <f>IFERROR(INDEX(tbl_Collections[Month], ROW() - 4), "")</f>
        <v/>
      </c>
      <c r="C9" s="29">
        <f>IFERROR(INDEX(tbl_Collections[Member], ROW() - 4), "")</f>
        <v/>
      </c>
      <c r="D9" s="30">
        <f>IFERROR(INDEX(tbl_Collections[Standard Contribution], ROW() - 4), 0)</f>
        <v/>
      </c>
      <c r="E9" s="30">
        <f>IFERROR(INDEX(tbl_Collections[Extra Contribution], ROW() - 4), 0)</f>
        <v/>
      </c>
      <c r="F9" s="30">
        <f>IFERROR(INDEX(tbl_Collections[Total Paid], ROW() - 4), 0)</f>
        <v/>
      </c>
      <c r="G9" s="30">
        <f>IFERROR(INDEX(tbl_Collections[Outstanding Balance], ROW() - 4), 0)</f>
        <v/>
      </c>
    </row>
    <row r="10" ht="18" customHeight="1">
      <c r="B10" s="31">
        <f>IFERROR(INDEX(tbl_Collections[Month], ROW() - 4), "")</f>
        <v/>
      </c>
      <c r="C10" s="32">
        <f>IFERROR(INDEX(tbl_Collections[Member], ROW() - 4), "")</f>
        <v/>
      </c>
      <c r="D10" s="33">
        <f>IFERROR(INDEX(tbl_Collections[Standard Contribution], ROW() - 4), 0)</f>
        <v/>
      </c>
      <c r="E10" s="33">
        <f>IFERROR(INDEX(tbl_Collections[Extra Contribution], ROW() - 4), 0)</f>
        <v/>
      </c>
      <c r="F10" s="33">
        <f>IFERROR(INDEX(tbl_Collections[Total Paid], ROW() - 4), 0)</f>
        <v/>
      </c>
      <c r="G10" s="33">
        <f>IFERROR(INDEX(tbl_Collections[Outstanding Balance], ROW() - 4), 0)</f>
        <v/>
      </c>
    </row>
    <row r="11" ht="18" customHeight="1">
      <c r="B11" s="28">
        <f>IFERROR(INDEX(tbl_Collections[Month], ROW() - 4), "")</f>
        <v/>
      </c>
      <c r="C11" s="29">
        <f>IFERROR(INDEX(tbl_Collections[Member], ROW() - 4), "")</f>
        <v/>
      </c>
      <c r="D11" s="30">
        <f>IFERROR(INDEX(tbl_Collections[Standard Contribution], ROW() - 4), 0)</f>
        <v/>
      </c>
      <c r="E11" s="30">
        <f>IFERROR(INDEX(tbl_Collections[Extra Contribution], ROW() - 4), 0)</f>
        <v/>
      </c>
      <c r="F11" s="30">
        <f>IFERROR(INDEX(tbl_Collections[Total Paid], ROW() - 4), 0)</f>
        <v/>
      </c>
      <c r="G11" s="30">
        <f>IFERROR(INDEX(tbl_Collections[Outstanding Balance], ROW() - 4), 0)</f>
        <v/>
      </c>
    </row>
    <row r="12" ht="18" customHeight="1">
      <c r="B12" s="31">
        <f>IFERROR(INDEX(tbl_Collections[Month], ROW() - 4), "")</f>
        <v/>
      </c>
      <c r="C12" s="32">
        <f>IFERROR(INDEX(tbl_Collections[Member], ROW() - 4), "")</f>
        <v/>
      </c>
      <c r="D12" s="33">
        <f>IFERROR(INDEX(tbl_Collections[Standard Contribution], ROW() - 4), 0)</f>
        <v/>
      </c>
      <c r="E12" s="33">
        <f>IFERROR(INDEX(tbl_Collections[Extra Contribution], ROW() - 4), 0)</f>
        <v/>
      </c>
      <c r="F12" s="33">
        <f>IFERROR(INDEX(tbl_Collections[Total Paid], ROW() - 4), 0)</f>
        <v/>
      </c>
      <c r="G12" s="33">
        <f>IFERROR(INDEX(tbl_Collections[Outstanding Balance], ROW() - 4), 0)</f>
        <v/>
      </c>
    </row>
    <row r="13" ht="18" customHeight="1">
      <c r="B13" s="28">
        <f>IFERROR(INDEX(tbl_Collections[Month], ROW() - 4), "")</f>
        <v/>
      </c>
      <c r="C13" s="29">
        <f>IFERROR(INDEX(tbl_Collections[Member], ROW() - 4), "")</f>
        <v/>
      </c>
      <c r="D13" s="30">
        <f>IFERROR(INDEX(tbl_Collections[Standard Contribution], ROW() - 4), 0)</f>
        <v/>
      </c>
      <c r="E13" s="30">
        <f>IFERROR(INDEX(tbl_Collections[Extra Contribution], ROW() - 4), 0)</f>
        <v/>
      </c>
      <c r="F13" s="30">
        <f>IFERROR(INDEX(tbl_Collections[Total Paid], ROW() - 4), 0)</f>
        <v/>
      </c>
      <c r="G13" s="30">
        <f>IFERROR(INDEX(tbl_Collections[Outstanding Balance], ROW() - 4), 0)</f>
        <v/>
      </c>
    </row>
    <row r="14" ht="18" customHeight="1">
      <c r="B14" s="31">
        <f>IFERROR(INDEX(tbl_Collections[Month], ROW() - 4), "")</f>
        <v/>
      </c>
      <c r="C14" s="32">
        <f>IFERROR(INDEX(tbl_Collections[Member], ROW() - 4), "")</f>
        <v/>
      </c>
      <c r="D14" s="33">
        <f>IFERROR(INDEX(tbl_Collections[Standard Contribution], ROW() - 4), 0)</f>
        <v/>
      </c>
      <c r="E14" s="33">
        <f>IFERROR(INDEX(tbl_Collections[Extra Contribution], ROW() - 4), 0)</f>
        <v/>
      </c>
      <c r="F14" s="33">
        <f>IFERROR(INDEX(tbl_Collections[Total Paid], ROW() - 4), 0)</f>
        <v/>
      </c>
      <c r="G14" s="33">
        <f>IFERROR(INDEX(tbl_Collections[Outstanding Balance], ROW() - 4), 0)</f>
        <v/>
      </c>
    </row>
    <row r="15" ht="18" customHeight="1">
      <c r="B15" s="28">
        <f>IFERROR(INDEX(tbl_Collections[Month], ROW() - 4), "")</f>
        <v/>
      </c>
      <c r="C15" s="29">
        <f>IFERROR(INDEX(tbl_Collections[Member], ROW() - 4), "")</f>
        <v/>
      </c>
      <c r="D15" s="30">
        <f>IFERROR(INDEX(tbl_Collections[Standard Contribution], ROW() - 4), 0)</f>
        <v/>
      </c>
      <c r="E15" s="30">
        <f>IFERROR(INDEX(tbl_Collections[Extra Contribution], ROW() - 4), 0)</f>
        <v/>
      </c>
      <c r="F15" s="30">
        <f>IFERROR(INDEX(tbl_Collections[Total Paid], ROW() - 4), 0)</f>
        <v/>
      </c>
      <c r="G15" s="30">
        <f>IFERROR(INDEX(tbl_Collections[Outstanding Balance], ROW() - 4), 0)</f>
        <v/>
      </c>
    </row>
    <row r="16" ht="18" customHeight="1">
      <c r="B16" s="31">
        <f>IFERROR(INDEX(tbl_Collections[Month], ROW() - 4), "")</f>
        <v/>
      </c>
      <c r="C16" s="32">
        <f>IFERROR(INDEX(tbl_Collections[Member], ROW() - 4), "")</f>
        <v/>
      </c>
      <c r="D16" s="33">
        <f>IFERROR(INDEX(tbl_Collections[Standard Contribution], ROW() - 4), 0)</f>
        <v/>
      </c>
      <c r="E16" s="33">
        <f>IFERROR(INDEX(tbl_Collections[Extra Contribution], ROW() - 4), 0)</f>
        <v/>
      </c>
      <c r="F16" s="33">
        <f>IFERROR(INDEX(tbl_Collections[Total Paid], ROW() - 4), 0)</f>
        <v/>
      </c>
      <c r="G16" s="33">
        <f>IFERROR(INDEX(tbl_Collections[Outstanding Balance], ROW() - 4), 0)</f>
        <v/>
      </c>
    </row>
    <row r="17" ht="15" customHeight="1"/>
    <row r="18" ht="24" customHeight="1">
      <c r="B18" s="26" t="inlineStr">
        <is>
          <t>2. MONTHLY EXPENSE BREAKDOWN REPORT</t>
        </is>
      </c>
    </row>
    <row r="19" ht="24" customHeight="1">
      <c r="B19" s="27" t="inlineStr">
        <is>
          <t>Month</t>
        </is>
      </c>
      <c r="C19" s="27" t="inlineStr">
        <is>
          <t>Water Bill</t>
        </is>
      </c>
      <c r="D19" s="27" t="inlineStr">
        <is>
          <t>Electricity Bill</t>
        </is>
      </c>
      <c r="E19" s="27" t="inlineStr">
        <is>
          <t>Internet Share</t>
        </is>
      </c>
      <c r="F19" s="27" t="inlineStr">
        <is>
          <t>Cleaning &amp; Gas</t>
        </is>
      </c>
      <c r="G19" s="27" t="inlineStr">
        <is>
          <t>Total Expenses</t>
        </is>
      </c>
    </row>
    <row r="20" ht="18" customHeight="1">
      <c r="B20" s="31">
        <f>IFERROR(INDEX(tbl_UtilityBills[Month], ROW() - 19), "")</f>
        <v/>
      </c>
      <c r="C20" s="33">
        <f>IFERROR(INDEX(tbl_UtilityBills[Water Bill], ROW() - 19), 0)</f>
        <v/>
      </c>
      <c r="D20" s="33">
        <f>IFERROR(INDEX(tbl_UtilityBills[Electricity Bill], ROW() - 19), 0)</f>
        <v/>
      </c>
      <c r="E20" s="33">
        <f>IFERROR(INDEX(tbl_UtilityBills[Internet], ROW() - 19), 0)</f>
        <v/>
      </c>
      <c r="F20" s="33">
        <f>IFERROR(INDEX(tbl_UtilityBills[Cleaning], ROW() - 19)+INDEX(tbl_UtilityBills[Gas], ROW() - 19), 0)</f>
        <v/>
      </c>
      <c r="G20" s="33">
        <f>IFERROR(INDEX(tbl_UtilityBills[Total Expenses], ROW() - 19), 0)</f>
        <v/>
      </c>
    </row>
    <row r="21" ht="18" customHeight="1">
      <c r="B21" s="28">
        <f>IFERROR(INDEX(tbl_UtilityBills[Month], ROW() - 19), "")</f>
        <v/>
      </c>
      <c r="C21" s="30">
        <f>IFERROR(INDEX(tbl_UtilityBills[Water Bill], ROW() - 19), 0)</f>
        <v/>
      </c>
      <c r="D21" s="30">
        <f>IFERROR(INDEX(tbl_UtilityBills[Electricity Bill], ROW() - 19), 0)</f>
        <v/>
      </c>
      <c r="E21" s="30">
        <f>IFERROR(INDEX(tbl_UtilityBills[Internet], ROW() - 19), 0)</f>
        <v/>
      </c>
      <c r="F21" s="30">
        <f>IFERROR(INDEX(tbl_UtilityBills[Cleaning], ROW() - 19)+INDEX(tbl_UtilityBills[Gas], ROW() - 19), 0)</f>
        <v/>
      </c>
      <c r="G21" s="30">
        <f>IFERROR(INDEX(tbl_UtilityBills[Total Expenses], ROW() - 19), 0)</f>
        <v/>
      </c>
    </row>
    <row r="22" ht="18" customHeight="1">
      <c r="B22" s="31">
        <f>IFERROR(INDEX(tbl_UtilityBills[Month], ROW() - 19), "")</f>
        <v/>
      </c>
      <c r="C22" s="33">
        <f>IFERROR(INDEX(tbl_UtilityBills[Water Bill], ROW() - 19), 0)</f>
        <v/>
      </c>
      <c r="D22" s="33">
        <f>IFERROR(INDEX(tbl_UtilityBills[Electricity Bill], ROW() - 19), 0)</f>
        <v/>
      </c>
      <c r="E22" s="33">
        <f>IFERROR(INDEX(tbl_UtilityBills[Internet], ROW() - 19), 0)</f>
        <v/>
      </c>
      <c r="F22" s="33">
        <f>IFERROR(INDEX(tbl_UtilityBills[Cleaning], ROW() - 19)+INDEX(tbl_UtilityBills[Gas], ROW() - 19), 0)</f>
        <v/>
      </c>
      <c r="G22" s="33">
        <f>IFERROR(INDEX(tbl_UtilityBills[Total Expenses], ROW() - 19), 0)</f>
        <v/>
      </c>
    </row>
    <row r="23" ht="18" customHeight="1">
      <c r="B23" s="28">
        <f>IFERROR(INDEX(tbl_UtilityBills[Month], ROW() - 19), "")</f>
        <v/>
      </c>
      <c r="C23" s="30">
        <f>IFERROR(INDEX(tbl_UtilityBills[Water Bill], ROW() - 19), 0)</f>
        <v/>
      </c>
      <c r="D23" s="30">
        <f>IFERROR(INDEX(tbl_UtilityBills[Electricity Bill], ROW() - 19), 0)</f>
        <v/>
      </c>
      <c r="E23" s="30">
        <f>IFERROR(INDEX(tbl_UtilityBills[Internet], ROW() - 19), 0)</f>
        <v/>
      </c>
      <c r="F23" s="30">
        <f>IFERROR(INDEX(tbl_UtilityBills[Cleaning], ROW() - 19)+INDEX(tbl_UtilityBills[Gas], ROW() - 19), 0)</f>
        <v/>
      </c>
      <c r="G23" s="30">
        <f>IFERROR(INDEX(tbl_UtilityBills[Total Expenses], ROW() - 19), 0)</f>
        <v/>
      </c>
    </row>
    <row r="24" ht="18" customHeight="1">
      <c r="B24" s="31">
        <f>IFERROR(INDEX(tbl_UtilityBills[Month], ROW() - 19), "")</f>
        <v/>
      </c>
      <c r="C24" s="33">
        <f>IFERROR(INDEX(tbl_UtilityBills[Water Bill], ROW() - 19), 0)</f>
        <v/>
      </c>
      <c r="D24" s="33">
        <f>IFERROR(INDEX(tbl_UtilityBills[Electricity Bill], ROW() - 19), 0)</f>
        <v/>
      </c>
      <c r="E24" s="33">
        <f>IFERROR(INDEX(tbl_UtilityBills[Internet], ROW() - 19), 0)</f>
        <v/>
      </c>
      <c r="F24" s="33">
        <f>IFERROR(INDEX(tbl_UtilityBills[Cleaning], ROW() - 19)+INDEX(tbl_UtilityBills[Gas], ROW() - 19), 0)</f>
        <v/>
      </c>
      <c r="G24" s="33">
        <f>IFERROR(INDEX(tbl_UtilityBills[Total Expenses], ROW() - 19), 0)</f>
        <v/>
      </c>
    </row>
    <row r="25" ht="18" customHeight="1">
      <c r="B25" s="28">
        <f>IFERROR(INDEX(tbl_UtilityBills[Month], ROW() - 19), "")</f>
        <v/>
      </c>
      <c r="C25" s="30">
        <f>IFERROR(INDEX(tbl_UtilityBills[Water Bill], ROW() - 19), 0)</f>
        <v/>
      </c>
      <c r="D25" s="30">
        <f>IFERROR(INDEX(tbl_UtilityBills[Electricity Bill], ROW() - 19), 0)</f>
        <v/>
      </c>
      <c r="E25" s="30">
        <f>IFERROR(INDEX(tbl_UtilityBills[Internet], ROW() - 19), 0)</f>
        <v/>
      </c>
      <c r="F25" s="30">
        <f>IFERROR(INDEX(tbl_UtilityBills[Cleaning], ROW() - 19)+INDEX(tbl_UtilityBills[Gas], ROW() - 19), 0)</f>
        <v/>
      </c>
      <c r="G25" s="30">
        <f>IFERROR(INDEX(tbl_UtilityBills[Total Expenses], ROW() - 19), 0)</f>
        <v/>
      </c>
    </row>
    <row r="26" ht="18" customHeight="1">
      <c r="B26" s="31">
        <f>IFERROR(INDEX(tbl_UtilityBills[Month], ROW() - 19), "")</f>
        <v/>
      </c>
      <c r="C26" s="33">
        <f>IFERROR(INDEX(tbl_UtilityBills[Water Bill], ROW() - 19), 0)</f>
        <v/>
      </c>
      <c r="D26" s="33">
        <f>IFERROR(INDEX(tbl_UtilityBills[Electricity Bill], ROW() - 19), 0)</f>
        <v/>
      </c>
      <c r="E26" s="33">
        <f>IFERROR(INDEX(tbl_UtilityBills[Internet], ROW() - 19), 0)</f>
        <v/>
      </c>
      <c r="F26" s="33">
        <f>IFERROR(INDEX(tbl_UtilityBills[Cleaning], ROW() - 19)+INDEX(tbl_UtilityBills[Gas], ROW() - 19), 0)</f>
        <v/>
      </c>
      <c r="G26" s="33">
        <f>IFERROR(INDEX(tbl_UtilityBills[Total Expenses], ROW() - 19), 0)</f>
        <v/>
      </c>
    </row>
    <row r="27" ht="18" customHeight="1">
      <c r="B27" s="28">
        <f>IFERROR(INDEX(tbl_UtilityBills[Month], ROW() - 19), "")</f>
        <v/>
      </c>
      <c r="C27" s="30">
        <f>IFERROR(INDEX(tbl_UtilityBills[Water Bill], ROW() - 19), 0)</f>
        <v/>
      </c>
      <c r="D27" s="30">
        <f>IFERROR(INDEX(tbl_UtilityBills[Electricity Bill], ROW() - 19), 0)</f>
        <v/>
      </c>
      <c r="E27" s="30">
        <f>IFERROR(INDEX(tbl_UtilityBills[Internet], ROW() - 19), 0)</f>
        <v/>
      </c>
      <c r="F27" s="30">
        <f>IFERROR(INDEX(tbl_UtilityBills[Cleaning], ROW() - 19)+INDEX(tbl_UtilityBills[Gas], ROW() - 19), 0)</f>
        <v/>
      </c>
      <c r="G27" s="30">
        <f>IFERROR(INDEX(tbl_UtilityBills[Total Expenses], ROW() - 19), 0)</f>
        <v/>
      </c>
    </row>
    <row r="28" ht="18" customHeight="1">
      <c r="B28" s="31">
        <f>IFERROR(INDEX(tbl_UtilityBills[Month], ROW() - 19), "")</f>
        <v/>
      </c>
      <c r="C28" s="33">
        <f>IFERROR(INDEX(tbl_UtilityBills[Water Bill], ROW() - 19), 0)</f>
        <v/>
      </c>
      <c r="D28" s="33">
        <f>IFERROR(INDEX(tbl_UtilityBills[Electricity Bill], ROW() - 19), 0)</f>
        <v/>
      </c>
      <c r="E28" s="33">
        <f>IFERROR(INDEX(tbl_UtilityBills[Internet], ROW() - 19), 0)</f>
        <v/>
      </c>
      <c r="F28" s="33">
        <f>IFERROR(INDEX(tbl_UtilityBills[Cleaning], ROW() - 19)+INDEX(tbl_UtilityBills[Gas], ROW() - 19), 0)</f>
        <v/>
      </c>
      <c r="G28" s="33">
        <f>IFERROR(INDEX(tbl_UtilityBills[Total Expenses], ROW() - 19), 0)</f>
        <v/>
      </c>
    </row>
    <row r="29" ht="18" customHeight="1">
      <c r="B29" s="28">
        <f>IFERROR(INDEX(tbl_UtilityBills[Month], ROW() - 19), "")</f>
        <v/>
      </c>
      <c r="C29" s="30">
        <f>IFERROR(INDEX(tbl_UtilityBills[Water Bill], ROW() - 19), 0)</f>
        <v/>
      </c>
      <c r="D29" s="30">
        <f>IFERROR(INDEX(tbl_UtilityBills[Electricity Bill], ROW() - 19), 0)</f>
        <v/>
      </c>
      <c r="E29" s="30">
        <f>IFERROR(INDEX(tbl_UtilityBills[Internet], ROW() - 19), 0)</f>
        <v/>
      </c>
      <c r="F29" s="30">
        <f>IFERROR(INDEX(tbl_UtilityBills[Cleaning], ROW() - 19)+INDEX(tbl_UtilityBills[Gas], ROW() - 19), 0)</f>
        <v/>
      </c>
      <c r="G29" s="30">
        <f>IFERROR(INDEX(tbl_UtilityBills[Total Expenses], ROW() - 19), 0)</f>
        <v/>
      </c>
    </row>
    <row r="30" ht="18" customHeight="1">
      <c r="B30" s="31">
        <f>IFERROR(INDEX(tbl_UtilityBills[Month], ROW() - 19), "")</f>
        <v/>
      </c>
      <c r="C30" s="33">
        <f>IFERROR(INDEX(tbl_UtilityBills[Water Bill], ROW() - 19), 0)</f>
        <v/>
      </c>
      <c r="D30" s="33">
        <f>IFERROR(INDEX(tbl_UtilityBills[Electricity Bill], ROW() - 19), 0)</f>
        <v/>
      </c>
      <c r="E30" s="33">
        <f>IFERROR(INDEX(tbl_UtilityBills[Internet], ROW() - 19), 0)</f>
        <v/>
      </c>
      <c r="F30" s="33">
        <f>IFERROR(INDEX(tbl_UtilityBills[Cleaning], ROW() - 19)+INDEX(tbl_UtilityBills[Gas], ROW() - 19), 0)</f>
        <v/>
      </c>
      <c r="G30" s="33">
        <f>IFERROR(INDEX(tbl_UtilityBills[Total Expenses], ROW() - 19), 0)</f>
        <v/>
      </c>
    </row>
    <row r="31" ht="18" customHeight="1">
      <c r="B31" s="28">
        <f>IFERROR(INDEX(tbl_UtilityBills[Month], ROW() - 19), "")</f>
        <v/>
      </c>
      <c r="C31" s="30">
        <f>IFERROR(INDEX(tbl_UtilityBills[Water Bill], ROW() - 19), 0)</f>
        <v/>
      </c>
      <c r="D31" s="30">
        <f>IFERROR(INDEX(tbl_UtilityBills[Electricity Bill], ROW() - 19), 0)</f>
        <v/>
      </c>
      <c r="E31" s="30">
        <f>IFERROR(INDEX(tbl_UtilityBills[Internet], ROW() - 19), 0)</f>
        <v/>
      </c>
      <c r="F31" s="30">
        <f>IFERROR(INDEX(tbl_UtilityBills[Cleaning], ROW() - 19)+INDEX(tbl_UtilityBills[Gas], ROW() - 19), 0)</f>
        <v/>
      </c>
      <c r="G31" s="30">
        <f>IFERROR(INDEX(tbl_UtilityBills[Total Expenses], ROW() - 19), 0)</f>
        <v/>
      </c>
    </row>
    <row r="32" ht="15" customHeight="1"/>
    <row r="33" ht="24" customHeight="1">
      <c r="B33" s="26" t="inlineStr">
        <is>
          <t>3. ROOMMATE OUTSTANDING BALANCES REPORT</t>
        </is>
      </c>
    </row>
    <row r="34" ht="24" customHeight="1">
      <c r="B34" s="27" t="inlineStr">
        <is>
          <t>Month</t>
        </is>
      </c>
      <c r="C34" s="27" t="inlineStr">
        <is>
          <t>Member Name</t>
        </is>
      </c>
      <c r="D34" s="27" t="inlineStr">
        <is>
          <t>Expected Amount</t>
        </is>
      </c>
      <c r="E34" s="27" t="inlineStr">
        <is>
          <t>Total Paid</t>
        </is>
      </c>
      <c r="F34" s="27" t="inlineStr">
        <is>
          <t>Outstanding Balance</t>
        </is>
      </c>
      <c r="G34" s="27" t="inlineStr">
        <is>
          <t>Status</t>
        </is>
      </c>
    </row>
    <row r="35" ht="18" customHeight="1">
      <c r="B35" s="28">
        <f>IFERROR(INDEX(tbl_Collections[Month], ROW() - 34), "")</f>
        <v/>
      </c>
      <c r="C35" s="29">
        <f>IFERROR(INDEX(tbl_Collections[Member], ROW() - 34), "")</f>
        <v/>
      </c>
      <c r="D35" s="30">
        <f>IFERROR(INDEX(tbl_Collections[Standard Contribution], ROW() - 34)+INDEX(tbl_Collections[Extra Contribution], ROW() - 34), 0)</f>
        <v/>
      </c>
      <c r="E35" s="30">
        <f>IFERROR(INDEX(tbl_Collections[Total Paid], ROW() - 34), 0)</f>
        <v/>
      </c>
      <c r="F35" s="30">
        <f>IFERROR(INDEX(tbl_Collections[Outstanding Balance], ROW() - 34), 0)</f>
        <v/>
      </c>
      <c r="G35" s="28">
        <f>IFERROR(INDEX(tbl_Collections[Status], ROW() - 34), "")</f>
        <v/>
      </c>
    </row>
    <row r="36" ht="18" customHeight="1">
      <c r="B36" s="31">
        <f>IFERROR(INDEX(tbl_Collections[Month], ROW() - 34), "")</f>
        <v/>
      </c>
      <c r="C36" s="32">
        <f>IFERROR(INDEX(tbl_Collections[Member], ROW() - 34), "")</f>
        <v/>
      </c>
      <c r="D36" s="33">
        <f>IFERROR(INDEX(tbl_Collections[Standard Contribution], ROW() - 34)+INDEX(tbl_Collections[Extra Contribution], ROW() - 34), 0)</f>
        <v/>
      </c>
      <c r="E36" s="33">
        <f>IFERROR(INDEX(tbl_Collections[Total Paid], ROW() - 34), 0)</f>
        <v/>
      </c>
      <c r="F36" s="33">
        <f>IFERROR(INDEX(tbl_Collections[Outstanding Balance], ROW() - 34), 0)</f>
        <v/>
      </c>
      <c r="G36" s="31">
        <f>IFERROR(INDEX(tbl_Collections[Status], ROW() - 34), "")</f>
        <v/>
      </c>
    </row>
    <row r="37" ht="18" customHeight="1">
      <c r="B37" s="28">
        <f>IFERROR(INDEX(tbl_Collections[Month], ROW() - 34), "")</f>
        <v/>
      </c>
      <c r="C37" s="29">
        <f>IFERROR(INDEX(tbl_Collections[Member], ROW() - 34), "")</f>
        <v/>
      </c>
      <c r="D37" s="30">
        <f>IFERROR(INDEX(tbl_Collections[Standard Contribution], ROW() - 34)+INDEX(tbl_Collections[Extra Contribution], ROW() - 34), 0)</f>
        <v/>
      </c>
      <c r="E37" s="30">
        <f>IFERROR(INDEX(tbl_Collections[Total Paid], ROW() - 34), 0)</f>
        <v/>
      </c>
      <c r="F37" s="30">
        <f>IFERROR(INDEX(tbl_Collections[Outstanding Balance], ROW() - 34), 0)</f>
        <v/>
      </c>
      <c r="G37" s="28">
        <f>IFERROR(INDEX(tbl_Collections[Status], ROW() - 34), "")</f>
        <v/>
      </c>
    </row>
    <row r="38" ht="18" customHeight="1">
      <c r="B38" s="31">
        <f>IFERROR(INDEX(tbl_Collections[Month], ROW() - 34), "")</f>
        <v/>
      </c>
      <c r="C38" s="32">
        <f>IFERROR(INDEX(tbl_Collections[Member], ROW() - 34), "")</f>
        <v/>
      </c>
      <c r="D38" s="33">
        <f>IFERROR(INDEX(tbl_Collections[Standard Contribution], ROW() - 34)+INDEX(tbl_Collections[Extra Contribution], ROW() - 34), 0)</f>
        <v/>
      </c>
      <c r="E38" s="33">
        <f>IFERROR(INDEX(tbl_Collections[Total Paid], ROW() - 34), 0)</f>
        <v/>
      </c>
      <c r="F38" s="33">
        <f>IFERROR(INDEX(tbl_Collections[Outstanding Balance], ROW() - 34), 0)</f>
        <v/>
      </c>
      <c r="G38" s="31">
        <f>IFERROR(INDEX(tbl_Collections[Status], ROW() - 34), "")</f>
        <v/>
      </c>
    </row>
    <row r="39" ht="18" customHeight="1">
      <c r="B39" s="28">
        <f>IFERROR(INDEX(tbl_Collections[Month], ROW() - 34), "")</f>
        <v/>
      </c>
      <c r="C39" s="29">
        <f>IFERROR(INDEX(tbl_Collections[Member], ROW() - 34), "")</f>
        <v/>
      </c>
      <c r="D39" s="30">
        <f>IFERROR(INDEX(tbl_Collections[Standard Contribution], ROW() - 34)+INDEX(tbl_Collections[Extra Contribution], ROW() - 34), 0)</f>
        <v/>
      </c>
      <c r="E39" s="30">
        <f>IFERROR(INDEX(tbl_Collections[Total Paid], ROW() - 34), 0)</f>
        <v/>
      </c>
      <c r="F39" s="30">
        <f>IFERROR(INDEX(tbl_Collections[Outstanding Balance], ROW() - 34), 0)</f>
        <v/>
      </c>
      <c r="G39" s="28">
        <f>IFERROR(INDEX(tbl_Collections[Status], ROW() - 34), "")</f>
        <v/>
      </c>
    </row>
    <row r="40" ht="18" customHeight="1">
      <c r="B40" s="31">
        <f>IFERROR(INDEX(tbl_Collections[Month], ROW() - 34), "")</f>
        <v/>
      </c>
      <c r="C40" s="32">
        <f>IFERROR(INDEX(tbl_Collections[Member], ROW() - 34), "")</f>
        <v/>
      </c>
      <c r="D40" s="33">
        <f>IFERROR(INDEX(tbl_Collections[Standard Contribution], ROW() - 34)+INDEX(tbl_Collections[Extra Contribution], ROW() - 34), 0)</f>
        <v/>
      </c>
      <c r="E40" s="33">
        <f>IFERROR(INDEX(tbl_Collections[Total Paid], ROW() - 34), 0)</f>
        <v/>
      </c>
      <c r="F40" s="33">
        <f>IFERROR(INDEX(tbl_Collections[Outstanding Balance], ROW() - 34), 0)</f>
        <v/>
      </c>
      <c r="G40" s="31">
        <f>IFERROR(INDEX(tbl_Collections[Status], ROW() - 34), "")</f>
        <v/>
      </c>
    </row>
    <row r="41" ht="18" customHeight="1">
      <c r="B41" s="28">
        <f>IFERROR(INDEX(tbl_Collections[Month], ROW() - 34), "")</f>
        <v/>
      </c>
      <c r="C41" s="29">
        <f>IFERROR(INDEX(tbl_Collections[Member], ROW() - 34), "")</f>
        <v/>
      </c>
      <c r="D41" s="30">
        <f>IFERROR(INDEX(tbl_Collections[Standard Contribution], ROW() - 34)+INDEX(tbl_Collections[Extra Contribution], ROW() - 34), 0)</f>
        <v/>
      </c>
      <c r="E41" s="30">
        <f>IFERROR(INDEX(tbl_Collections[Total Paid], ROW() - 34), 0)</f>
        <v/>
      </c>
      <c r="F41" s="30">
        <f>IFERROR(INDEX(tbl_Collections[Outstanding Balance], ROW() - 34), 0)</f>
        <v/>
      </c>
      <c r="G41" s="28">
        <f>IFERROR(INDEX(tbl_Collections[Status], ROW() - 34), "")</f>
        <v/>
      </c>
    </row>
    <row r="42" ht="18" customHeight="1">
      <c r="B42" s="31">
        <f>IFERROR(INDEX(tbl_Collections[Month], ROW() - 34), "")</f>
        <v/>
      </c>
      <c r="C42" s="32">
        <f>IFERROR(INDEX(tbl_Collections[Member], ROW() - 34), "")</f>
        <v/>
      </c>
      <c r="D42" s="33">
        <f>IFERROR(INDEX(tbl_Collections[Standard Contribution], ROW() - 34)+INDEX(tbl_Collections[Extra Contribution], ROW() - 34), 0)</f>
        <v/>
      </c>
      <c r="E42" s="33">
        <f>IFERROR(INDEX(tbl_Collections[Total Paid], ROW() - 34), 0)</f>
        <v/>
      </c>
      <c r="F42" s="33">
        <f>IFERROR(INDEX(tbl_Collections[Outstanding Balance], ROW() - 34), 0)</f>
        <v/>
      </c>
      <c r="G42" s="31">
        <f>IFERROR(INDEX(tbl_Collections[Status], ROW() - 34), "")</f>
        <v/>
      </c>
    </row>
    <row r="43" ht="18" customHeight="1">
      <c r="B43" s="28">
        <f>IFERROR(INDEX(tbl_Collections[Month], ROW() - 34), "")</f>
        <v/>
      </c>
      <c r="C43" s="29">
        <f>IFERROR(INDEX(tbl_Collections[Member], ROW() - 34), "")</f>
        <v/>
      </c>
      <c r="D43" s="30">
        <f>IFERROR(INDEX(tbl_Collections[Standard Contribution], ROW() - 34)+INDEX(tbl_Collections[Extra Contribution], ROW() - 34), 0)</f>
        <v/>
      </c>
      <c r="E43" s="30">
        <f>IFERROR(INDEX(tbl_Collections[Total Paid], ROW() - 34), 0)</f>
        <v/>
      </c>
      <c r="F43" s="30">
        <f>IFERROR(INDEX(tbl_Collections[Outstanding Balance], ROW() - 34), 0)</f>
        <v/>
      </c>
      <c r="G43" s="28">
        <f>IFERROR(INDEX(tbl_Collections[Status], ROW() - 34), "")</f>
        <v/>
      </c>
    </row>
    <row r="44" ht="18" customHeight="1">
      <c r="B44" s="31">
        <f>IFERROR(INDEX(tbl_Collections[Month], ROW() - 34), "")</f>
        <v/>
      </c>
      <c r="C44" s="32">
        <f>IFERROR(INDEX(tbl_Collections[Member], ROW() - 34), "")</f>
        <v/>
      </c>
      <c r="D44" s="33">
        <f>IFERROR(INDEX(tbl_Collections[Standard Contribution], ROW() - 34)+INDEX(tbl_Collections[Extra Contribution], ROW() - 34), 0)</f>
        <v/>
      </c>
      <c r="E44" s="33">
        <f>IFERROR(INDEX(tbl_Collections[Total Paid], ROW() - 34), 0)</f>
        <v/>
      </c>
      <c r="F44" s="33">
        <f>IFERROR(INDEX(tbl_Collections[Outstanding Balance], ROW() - 34), 0)</f>
        <v/>
      </c>
      <c r="G44" s="31">
        <f>IFERROR(INDEX(tbl_Collections[Status], ROW() - 34), "")</f>
        <v/>
      </c>
    </row>
    <row r="45" ht="18" customHeight="1">
      <c r="B45" s="28">
        <f>IFERROR(INDEX(tbl_Collections[Month], ROW() - 34), "")</f>
        <v/>
      </c>
      <c r="C45" s="29">
        <f>IFERROR(INDEX(tbl_Collections[Member], ROW() - 34), "")</f>
        <v/>
      </c>
      <c r="D45" s="30">
        <f>IFERROR(INDEX(tbl_Collections[Standard Contribution], ROW() - 34)+INDEX(tbl_Collections[Extra Contribution], ROW() - 34), 0)</f>
        <v/>
      </c>
      <c r="E45" s="30">
        <f>IFERROR(INDEX(tbl_Collections[Total Paid], ROW() - 34), 0)</f>
        <v/>
      </c>
      <c r="F45" s="30">
        <f>IFERROR(INDEX(tbl_Collections[Outstanding Balance], ROW() - 34), 0)</f>
        <v/>
      </c>
      <c r="G45" s="28">
        <f>IFERROR(INDEX(tbl_Collections[Status], ROW() - 34), "")</f>
        <v/>
      </c>
    </row>
    <row r="46" ht="18" customHeight="1">
      <c r="B46" s="31">
        <f>IFERROR(INDEX(tbl_Collections[Month], ROW() - 34), "")</f>
        <v/>
      </c>
      <c r="C46" s="32">
        <f>IFERROR(INDEX(tbl_Collections[Member], ROW() - 34), "")</f>
        <v/>
      </c>
      <c r="D46" s="33">
        <f>IFERROR(INDEX(tbl_Collections[Standard Contribution], ROW() - 34)+INDEX(tbl_Collections[Extra Contribution], ROW() - 34), 0)</f>
        <v/>
      </c>
      <c r="E46" s="33">
        <f>IFERROR(INDEX(tbl_Collections[Total Paid], ROW() - 34), 0)</f>
        <v/>
      </c>
      <c r="F46" s="33">
        <f>IFERROR(INDEX(tbl_Collections[Outstanding Balance], ROW() - 34), 0)</f>
        <v/>
      </c>
      <c r="G46" s="31">
        <f>IFERROR(INDEX(tbl_Collections[Status], ROW() - 34), "")</f>
        <v/>
      </c>
    </row>
    <row r="47" ht="15" customHeight="1"/>
    <row r="48" ht="24" customHeight="1">
      <c r="B48" s="26" t="inlineStr">
        <is>
          <t>4. YEARLY PERFORMANCE SUMMARY REPORT</t>
        </is>
      </c>
    </row>
    <row r="49" ht="24" customHeight="1">
      <c r="B49" s="27" t="inlineStr">
        <is>
          <t>Month</t>
        </is>
      </c>
      <c r="C49" s="27" t="inlineStr">
        <is>
          <t>Expected Collection</t>
        </is>
      </c>
      <c r="D49" s="27" t="inlineStr">
        <is>
          <t>Actual Collection</t>
        </is>
      </c>
      <c r="E49" s="27" t="inlineStr">
        <is>
          <t>Total Expenses</t>
        </is>
      </c>
      <c r="F49" s="27" t="inlineStr">
        <is>
          <t>Net Diff (Surplus/Def)</t>
        </is>
      </c>
      <c r="G49" s="27" t="inlineStr">
        <is>
          <t>Carry Forward</t>
        </is>
      </c>
    </row>
    <row r="50" ht="18" customHeight="1">
      <c r="B50" s="31">
        <f>IFERROR(INDEX(tbl_MonthlySummary[Month], ROW() - 49), "")</f>
        <v/>
      </c>
      <c r="C50" s="33">
        <f>IFERROR(INDEX(tbl_MonthlySummary[Expected Collection], ROW() - 49), 0)</f>
        <v/>
      </c>
      <c r="D50" s="33">
        <f>IFERROR(INDEX(tbl_MonthlySummary[Actual Collection], ROW() - 49), 0)</f>
        <v/>
      </c>
      <c r="E50" s="33">
        <f>IFERROR(INDEX(tbl_MonthlySummary[Total Expenses], ROW() - 49), 0)</f>
        <v/>
      </c>
      <c r="F50" s="33">
        <f>IFERROR(INDEX(tbl_MonthlySummary[Surplus], ROW() - 49)-INDEX(tbl_MonthlySummary[Deficit], ROW() - 49), 0)</f>
        <v/>
      </c>
      <c r="G50" s="33">
        <f>IFERROR(INDEX(tbl_MonthlySummary[Carry Forward], ROW() - 49), 0)</f>
        <v/>
      </c>
    </row>
    <row r="51" ht="18" customHeight="1">
      <c r="B51" s="28">
        <f>IFERROR(INDEX(tbl_MonthlySummary[Month], ROW() - 49), "")</f>
        <v/>
      </c>
      <c r="C51" s="30">
        <f>IFERROR(INDEX(tbl_MonthlySummary[Expected Collection], ROW() - 49), 0)</f>
        <v/>
      </c>
      <c r="D51" s="30">
        <f>IFERROR(INDEX(tbl_MonthlySummary[Actual Collection], ROW() - 49), 0)</f>
        <v/>
      </c>
      <c r="E51" s="30">
        <f>IFERROR(INDEX(tbl_MonthlySummary[Total Expenses], ROW() - 49), 0)</f>
        <v/>
      </c>
      <c r="F51" s="30">
        <f>IFERROR(INDEX(tbl_MonthlySummary[Surplus], ROW() - 49)-INDEX(tbl_MonthlySummary[Deficit], ROW() - 49), 0)</f>
        <v/>
      </c>
      <c r="G51" s="30">
        <f>IFERROR(INDEX(tbl_MonthlySummary[Carry Forward], ROW() - 49), 0)</f>
        <v/>
      </c>
    </row>
    <row r="52" ht="18" customHeight="1">
      <c r="B52" s="31">
        <f>IFERROR(INDEX(tbl_MonthlySummary[Month], ROW() - 49), "")</f>
        <v/>
      </c>
      <c r="C52" s="33">
        <f>IFERROR(INDEX(tbl_MonthlySummary[Expected Collection], ROW() - 49), 0)</f>
        <v/>
      </c>
      <c r="D52" s="33">
        <f>IFERROR(INDEX(tbl_MonthlySummary[Actual Collection], ROW() - 49), 0)</f>
        <v/>
      </c>
      <c r="E52" s="33">
        <f>IFERROR(INDEX(tbl_MonthlySummary[Total Expenses], ROW() - 49), 0)</f>
        <v/>
      </c>
      <c r="F52" s="33">
        <f>IFERROR(INDEX(tbl_MonthlySummary[Surplus], ROW() - 49)-INDEX(tbl_MonthlySummary[Deficit], ROW() - 49), 0)</f>
        <v/>
      </c>
      <c r="G52" s="33">
        <f>IFERROR(INDEX(tbl_MonthlySummary[Carry Forward], ROW() - 49), 0)</f>
        <v/>
      </c>
    </row>
    <row r="53" ht="18" customHeight="1">
      <c r="B53" s="28">
        <f>IFERROR(INDEX(tbl_MonthlySummary[Month], ROW() - 49), "")</f>
        <v/>
      </c>
      <c r="C53" s="30">
        <f>IFERROR(INDEX(tbl_MonthlySummary[Expected Collection], ROW() - 49), 0)</f>
        <v/>
      </c>
      <c r="D53" s="30">
        <f>IFERROR(INDEX(tbl_MonthlySummary[Actual Collection], ROW() - 49), 0)</f>
        <v/>
      </c>
      <c r="E53" s="30">
        <f>IFERROR(INDEX(tbl_MonthlySummary[Total Expenses], ROW() - 49), 0)</f>
        <v/>
      </c>
      <c r="F53" s="30">
        <f>IFERROR(INDEX(tbl_MonthlySummary[Surplus], ROW() - 49)-INDEX(tbl_MonthlySummary[Deficit], ROW() - 49), 0)</f>
        <v/>
      </c>
      <c r="G53" s="30">
        <f>IFERROR(INDEX(tbl_MonthlySummary[Carry Forward], ROW() - 49), 0)</f>
        <v/>
      </c>
    </row>
    <row r="54" ht="18" customHeight="1">
      <c r="B54" s="31">
        <f>IFERROR(INDEX(tbl_MonthlySummary[Month], ROW() - 49), "")</f>
        <v/>
      </c>
      <c r="C54" s="33">
        <f>IFERROR(INDEX(tbl_MonthlySummary[Expected Collection], ROW() - 49), 0)</f>
        <v/>
      </c>
      <c r="D54" s="33">
        <f>IFERROR(INDEX(tbl_MonthlySummary[Actual Collection], ROW() - 49), 0)</f>
        <v/>
      </c>
      <c r="E54" s="33">
        <f>IFERROR(INDEX(tbl_MonthlySummary[Total Expenses], ROW() - 49), 0)</f>
        <v/>
      </c>
      <c r="F54" s="33">
        <f>IFERROR(INDEX(tbl_MonthlySummary[Surplus], ROW() - 49)-INDEX(tbl_MonthlySummary[Deficit], ROW() - 49), 0)</f>
        <v/>
      </c>
      <c r="G54" s="33">
        <f>IFERROR(INDEX(tbl_MonthlySummary[Carry Forward], ROW() - 49), 0)</f>
        <v/>
      </c>
    </row>
    <row r="55" ht="18" customHeight="1">
      <c r="B55" s="28">
        <f>IFERROR(INDEX(tbl_MonthlySummary[Month], ROW() - 49), "")</f>
        <v/>
      </c>
      <c r="C55" s="30">
        <f>IFERROR(INDEX(tbl_MonthlySummary[Expected Collection], ROW() - 49), 0)</f>
        <v/>
      </c>
      <c r="D55" s="30">
        <f>IFERROR(INDEX(tbl_MonthlySummary[Actual Collection], ROW() - 49), 0)</f>
        <v/>
      </c>
      <c r="E55" s="30">
        <f>IFERROR(INDEX(tbl_MonthlySummary[Total Expenses], ROW() - 49), 0)</f>
        <v/>
      </c>
      <c r="F55" s="30">
        <f>IFERROR(INDEX(tbl_MonthlySummary[Surplus], ROW() - 49)-INDEX(tbl_MonthlySummary[Deficit], ROW() - 49), 0)</f>
        <v/>
      </c>
      <c r="G55" s="30">
        <f>IFERROR(INDEX(tbl_MonthlySummary[Carry Forward], ROW() - 49), 0)</f>
        <v/>
      </c>
    </row>
    <row r="56" ht="18" customHeight="1">
      <c r="B56" s="31">
        <f>IFERROR(INDEX(tbl_MonthlySummary[Month], ROW() - 49), "")</f>
        <v/>
      </c>
      <c r="C56" s="33">
        <f>IFERROR(INDEX(tbl_MonthlySummary[Expected Collection], ROW() - 49), 0)</f>
        <v/>
      </c>
      <c r="D56" s="33">
        <f>IFERROR(INDEX(tbl_MonthlySummary[Actual Collection], ROW() - 49), 0)</f>
        <v/>
      </c>
      <c r="E56" s="33">
        <f>IFERROR(INDEX(tbl_MonthlySummary[Total Expenses], ROW() - 49), 0)</f>
        <v/>
      </c>
      <c r="F56" s="33">
        <f>IFERROR(INDEX(tbl_MonthlySummary[Surplus], ROW() - 49)-INDEX(tbl_MonthlySummary[Deficit], ROW() - 49), 0)</f>
        <v/>
      </c>
      <c r="G56" s="33">
        <f>IFERROR(INDEX(tbl_MonthlySummary[Carry Forward], ROW() - 49), 0)</f>
        <v/>
      </c>
    </row>
    <row r="57" ht="18" customHeight="1">
      <c r="B57" s="28">
        <f>IFERROR(INDEX(tbl_MonthlySummary[Month], ROW() - 49), "")</f>
        <v/>
      </c>
      <c r="C57" s="30">
        <f>IFERROR(INDEX(tbl_MonthlySummary[Expected Collection], ROW() - 49), 0)</f>
        <v/>
      </c>
      <c r="D57" s="30">
        <f>IFERROR(INDEX(tbl_MonthlySummary[Actual Collection], ROW() - 49), 0)</f>
        <v/>
      </c>
      <c r="E57" s="30">
        <f>IFERROR(INDEX(tbl_MonthlySummary[Total Expenses], ROW() - 49), 0)</f>
        <v/>
      </c>
      <c r="F57" s="30">
        <f>IFERROR(INDEX(tbl_MonthlySummary[Surplus], ROW() - 49)-INDEX(tbl_MonthlySummary[Deficit], ROW() - 49), 0)</f>
        <v/>
      </c>
      <c r="G57" s="30">
        <f>IFERROR(INDEX(tbl_MonthlySummary[Carry Forward], ROW() - 49), 0)</f>
        <v/>
      </c>
    </row>
    <row r="58" ht="18" customHeight="1">
      <c r="B58" s="31">
        <f>IFERROR(INDEX(tbl_MonthlySummary[Month], ROW() - 49), "")</f>
        <v/>
      </c>
      <c r="C58" s="33">
        <f>IFERROR(INDEX(tbl_MonthlySummary[Expected Collection], ROW() - 49), 0)</f>
        <v/>
      </c>
      <c r="D58" s="33">
        <f>IFERROR(INDEX(tbl_MonthlySummary[Actual Collection], ROW() - 49), 0)</f>
        <v/>
      </c>
      <c r="E58" s="33">
        <f>IFERROR(INDEX(tbl_MonthlySummary[Total Expenses], ROW() - 49), 0)</f>
        <v/>
      </c>
      <c r="F58" s="33">
        <f>IFERROR(INDEX(tbl_MonthlySummary[Surplus], ROW() - 49)-INDEX(tbl_MonthlySummary[Deficit], ROW() - 49), 0)</f>
        <v/>
      </c>
      <c r="G58" s="33">
        <f>IFERROR(INDEX(tbl_MonthlySummary[Carry Forward], ROW() - 49), 0)</f>
        <v/>
      </c>
    </row>
    <row r="59" ht="18" customHeight="1">
      <c r="B59" s="28">
        <f>IFERROR(INDEX(tbl_MonthlySummary[Month], ROW() - 49), "")</f>
        <v/>
      </c>
      <c r="C59" s="30">
        <f>IFERROR(INDEX(tbl_MonthlySummary[Expected Collection], ROW() - 49), 0)</f>
        <v/>
      </c>
      <c r="D59" s="30">
        <f>IFERROR(INDEX(tbl_MonthlySummary[Actual Collection], ROW() - 49), 0)</f>
        <v/>
      </c>
      <c r="E59" s="30">
        <f>IFERROR(INDEX(tbl_MonthlySummary[Total Expenses], ROW() - 49), 0)</f>
        <v/>
      </c>
      <c r="F59" s="30">
        <f>IFERROR(INDEX(tbl_MonthlySummary[Surplus], ROW() - 49)-INDEX(tbl_MonthlySummary[Deficit], ROW() - 49), 0)</f>
        <v/>
      </c>
      <c r="G59" s="30">
        <f>IFERROR(INDEX(tbl_MonthlySummary[Carry Forward], ROW() - 49), 0)</f>
        <v/>
      </c>
    </row>
    <row r="60" ht="18" customHeight="1">
      <c r="B60" s="31">
        <f>IFERROR(INDEX(tbl_MonthlySummary[Month], ROW() - 49), "")</f>
        <v/>
      </c>
      <c r="C60" s="33">
        <f>IFERROR(INDEX(tbl_MonthlySummary[Expected Collection], ROW() - 49), 0)</f>
        <v/>
      </c>
      <c r="D60" s="33">
        <f>IFERROR(INDEX(tbl_MonthlySummary[Actual Collection], ROW() - 49), 0)</f>
        <v/>
      </c>
      <c r="E60" s="33">
        <f>IFERROR(INDEX(tbl_MonthlySummary[Total Expenses], ROW() - 49), 0)</f>
        <v/>
      </c>
      <c r="F60" s="33">
        <f>IFERROR(INDEX(tbl_MonthlySummary[Surplus], ROW() - 49)-INDEX(tbl_MonthlySummary[Deficit], ROW() - 49), 0)</f>
        <v/>
      </c>
      <c r="G60" s="33">
        <f>IFERROR(INDEX(tbl_MonthlySummary[Carry Forward], ROW() - 49), 0)</f>
        <v/>
      </c>
    </row>
    <row r="61" ht="18" customHeight="1">
      <c r="B61" s="28">
        <f>IFERROR(INDEX(tbl_MonthlySummary[Month], ROW() - 49), "")</f>
        <v/>
      </c>
      <c r="C61" s="30">
        <f>IFERROR(INDEX(tbl_MonthlySummary[Expected Collection], ROW() - 49), 0)</f>
        <v/>
      </c>
      <c r="D61" s="30">
        <f>IFERROR(INDEX(tbl_MonthlySummary[Actual Collection], ROW() - 49), 0)</f>
        <v/>
      </c>
      <c r="E61" s="30">
        <f>IFERROR(INDEX(tbl_MonthlySummary[Total Expenses], ROW() - 49), 0)</f>
        <v/>
      </c>
      <c r="F61" s="30">
        <f>IFERROR(INDEX(tbl_MonthlySummary[Surplus], ROW() - 49)-INDEX(tbl_MonthlySummary[Deficit], ROW() - 49), 0)</f>
        <v/>
      </c>
      <c r="G61" s="30">
        <f>IFERROR(INDEX(tbl_MonthlySummary[Carry Forward], ROW() - 49), 0)</f>
        <v/>
      </c>
    </row>
    <row r="62" ht="15" customHeight="1"/>
    <row r="63" ht="24" customHeight="1">
      <c r="B63" s="26" t="inlineStr">
        <is>
          <t>5. MEMBER STATEMENT REPORT</t>
        </is>
      </c>
    </row>
    <row r="64" ht="24" customHeight="1">
      <c r="B64" s="27" t="inlineStr">
        <is>
          <t>Month</t>
        </is>
      </c>
      <c r="C64" s="27" t="inlineStr">
        <is>
          <t>Member Name</t>
        </is>
      </c>
      <c r="D64" s="27" t="inlineStr">
        <is>
          <t>Rent Paid</t>
        </is>
      </c>
      <c r="E64" s="27" t="inlineStr">
        <is>
          <t>Utility Paid</t>
        </is>
      </c>
      <c r="F64" s="27" t="inlineStr">
        <is>
          <t>Total Paid</t>
        </is>
      </c>
      <c r="G64" s="27" t="inlineStr">
        <is>
          <t>Payment Date</t>
        </is>
      </c>
    </row>
    <row r="65" ht="18" customHeight="1">
      <c r="B65" s="28">
        <f>IFERROR(INDEX(tbl_Collections[Month], ROW() - 64), "")</f>
        <v/>
      </c>
      <c r="C65" s="29">
        <f>IFERROR(INDEX(tbl_Collections[Member], ROW() - 64), "")</f>
        <v/>
      </c>
      <c r="D65" s="30">
        <f>IFERROR(INDEX(tbl_Collections[Partial Payment], ROW() - 64), 0)</f>
        <v/>
      </c>
      <c r="E65" s="30">
        <f>IFERROR(INDEX(tbl_Collections[Extra Contribution], ROW() - 64), 0)</f>
        <v/>
      </c>
      <c r="F65" s="30">
        <f>IFERROR(INDEX(tbl_Collections[Total Paid], ROW() - 64), 0)</f>
        <v/>
      </c>
      <c r="G65" s="34">
        <f>IFERROR(INDEX(tbl_Collections[Payment Date], ROW() - 64), "")</f>
        <v/>
      </c>
    </row>
    <row r="66" ht="18" customHeight="1">
      <c r="B66" s="31">
        <f>IFERROR(INDEX(tbl_Collections[Month], ROW() - 64), "")</f>
        <v/>
      </c>
      <c r="C66" s="32">
        <f>IFERROR(INDEX(tbl_Collections[Member], ROW() - 64), "")</f>
        <v/>
      </c>
      <c r="D66" s="33">
        <f>IFERROR(INDEX(tbl_Collections[Partial Payment], ROW() - 64), 0)</f>
        <v/>
      </c>
      <c r="E66" s="33">
        <f>IFERROR(INDEX(tbl_Collections[Extra Contribution], ROW() - 64), 0)</f>
        <v/>
      </c>
      <c r="F66" s="33">
        <f>IFERROR(INDEX(tbl_Collections[Total Paid], ROW() - 64), 0)</f>
        <v/>
      </c>
      <c r="G66" s="35">
        <f>IFERROR(INDEX(tbl_Collections[Payment Date], ROW() - 64), "")</f>
        <v/>
      </c>
    </row>
    <row r="67" ht="18" customHeight="1">
      <c r="B67" s="28">
        <f>IFERROR(INDEX(tbl_Collections[Month], ROW() - 64), "")</f>
        <v/>
      </c>
      <c r="C67" s="29">
        <f>IFERROR(INDEX(tbl_Collections[Member], ROW() - 64), "")</f>
        <v/>
      </c>
      <c r="D67" s="30">
        <f>IFERROR(INDEX(tbl_Collections[Partial Payment], ROW() - 64), 0)</f>
        <v/>
      </c>
      <c r="E67" s="30">
        <f>IFERROR(INDEX(tbl_Collections[Extra Contribution], ROW() - 64), 0)</f>
        <v/>
      </c>
      <c r="F67" s="30">
        <f>IFERROR(INDEX(tbl_Collections[Total Paid], ROW() - 64), 0)</f>
        <v/>
      </c>
      <c r="G67" s="34">
        <f>IFERROR(INDEX(tbl_Collections[Payment Date], ROW() - 64), "")</f>
        <v/>
      </c>
    </row>
    <row r="68" ht="18" customHeight="1">
      <c r="B68" s="31">
        <f>IFERROR(INDEX(tbl_Collections[Month], ROW() - 64), "")</f>
        <v/>
      </c>
      <c r="C68" s="32">
        <f>IFERROR(INDEX(tbl_Collections[Member], ROW() - 64), "")</f>
        <v/>
      </c>
      <c r="D68" s="33">
        <f>IFERROR(INDEX(tbl_Collections[Partial Payment], ROW() - 64), 0)</f>
        <v/>
      </c>
      <c r="E68" s="33">
        <f>IFERROR(INDEX(tbl_Collections[Extra Contribution], ROW() - 64), 0)</f>
        <v/>
      </c>
      <c r="F68" s="33">
        <f>IFERROR(INDEX(tbl_Collections[Total Paid], ROW() - 64), 0)</f>
        <v/>
      </c>
      <c r="G68" s="35">
        <f>IFERROR(INDEX(tbl_Collections[Payment Date], ROW() - 64), "")</f>
        <v/>
      </c>
    </row>
    <row r="69" ht="18" customHeight="1">
      <c r="B69" s="28">
        <f>IFERROR(INDEX(tbl_Collections[Month], ROW() - 64), "")</f>
        <v/>
      </c>
      <c r="C69" s="29">
        <f>IFERROR(INDEX(tbl_Collections[Member], ROW() - 64), "")</f>
        <v/>
      </c>
      <c r="D69" s="30">
        <f>IFERROR(INDEX(tbl_Collections[Partial Payment], ROW() - 64), 0)</f>
        <v/>
      </c>
      <c r="E69" s="30">
        <f>IFERROR(INDEX(tbl_Collections[Extra Contribution], ROW() - 64), 0)</f>
        <v/>
      </c>
      <c r="F69" s="30">
        <f>IFERROR(INDEX(tbl_Collections[Total Paid], ROW() - 64), 0)</f>
        <v/>
      </c>
      <c r="G69" s="34">
        <f>IFERROR(INDEX(tbl_Collections[Payment Date], ROW() - 64), "")</f>
        <v/>
      </c>
    </row>
    <row r="70" ht="18" customHeight="1">
      <c r="B70" s="31">
        <f>IFERROR(INDEX(tbl_Collections[Month], ROW() - 64), "")</f>
        <v/>
      </c>
      <c r="C70" s="32">
        <f>IFERROR(INDEX(tbl_Collections[Member], ROW() - 64), "")</f>
        <v/>
      </c>
      <c r="D70" s="33">
        <f>IFERROR(INDEX(tbl_Collections[Partial Payment], ROW() - 64), 0)</f>
        <v/>
      </c>
      <c r="E70" s="33">
        <f>IFERROR(INDEX(tbl_Collections[Extra Contribution], ROW() - 64), 0)</f>
        <v/>
      </c>
      <c r="F70" s="33">
        <f>IFERROR(INDEX(tbl_Collections[Total Paid], ROW() - 64), 0)</f>
        <v/>
      </c>
      <c r="G70" s="35">
        <f>IFERROR(INDEX(tbl_Collections[Payment Date], ROW() - 64), "")</f>
        <v/>
      </c>
    </row>
    <row r="71" ht="18" customHeight="1">
      <c r="B71" s="28">
        <f>IFERROR(INDEX(tbl_Collections[Month], ROW() - 64), "")</f>
        <v/>
      </c>
      <c r="C71" s="29">
        <f>IFERROR(INDEX(tbl_Collections[Member], ROW() - 64), "")</f>
        <v/>
      </c>
      <c r="D71" s="30">
        <f>IFERROR(INDEX(tbl_Collections[Partial Payment], ROW() - 64), 0)</f>
        <v/>
      </c>
      <c r="E71" s="30">
        <f>IFERROR(INDEX(tbl_Collections[Extra Contribution], ROW() - 64), 0)</f>
        <v/>
      </c>
      <c r="F71" s="30">
        <f>IFERROR(INDEX(tbl_Collections[Total Paid], ROW() - 64), 0)</f>
        <v/>
      </c>
      <c r="G71" s="34">
        <f>IFERROR(INDEX(tbl_Collections[Payment Date], ROW() - 64), "")</f>
        <v/>
      </c>
    </row>
    <row r="72" ht="18" customHeight="1">
      <c r="B72" s="31">
        <f>IFERROR(INDEX(tbl_Collections[Month], ROW() - 64), "")</f>
        <v/>
      </c>
      <c r="C72" s="32">
        <f>IFERROR(INDEX(tbl_Collections[Member], ROW() - 64), "")</f>
        <v/>
      </c>
      <c r="D72" s="33">
        <f>IFERROR(INDEX(tbl_Collections[Partial Payment], ROW() - 64), 0)</f>
        <v/>
      </c>
      <c r="E72" s="33">
        <f>IFERROR(INDEX(tbl_Collections[Extra Contribution], ROW() - 64), 0)</f>
        <v/>
      </c>
      <c r="F72" s="33">
        <f>IFERROR(INDEX(tbl_Collections[Total Paid], ROW() - 64), 0)</f>
        <v/>
      </c>
      <c r="G72" s="35">
        <f>IFERROR(INDEX(tbl_Collections[Payment Date], ROW() - 64), "")</f>
        <v/>
      </c>
    </row>
    <row r="73" ht="18" customHeight="1">
      <c r="B73" s="28">
        <f>IFERROR(INDEX(tbl_Collections[Month], ROW() - 64), "")</f>
        <v/>
      </c>
      <c r="C73" s="29">
        <f>IFERROR(INDEX(tbl_Collections[Member], ROW() - 64), "")</f>
        <v/>
      </c>
      <c r="D73" s="30">
        <f>IFERROR(INDEX(tbl_Collections[Partial Payment], ROW() - 64), 0)</f>
        <v/>
      </c>
      <c r="E73" s="30">
        <f>IFERROR(INDEX(tbl_Collections[Extra Contribution], ROW() - 64), 0)</f>
        <v/>
      </c>
      <c r="F73" s="30">
        <f>IFERROR(INDEX(tbl_Collections[Total Paid], ROW() - 64), 0)</f>
        <v/>
      </c>
      <c r="G73" s="34">
        <f>IFERROR(INDEX(tbl_Collections[Payment Date], ROW() - 64), "")</f>
        <v/>
      </c>
    </row>
    <row r="74" ht="18" customHeight="1">
      <c r="B74" s="31">
        <f>IFERROR(INDEX(tbl_Collections[Month], ROW() - 64), "")</f>
        <v/>
      </c>
      <c r="C74" s="32">
        <f>IFERROR(INDEX(tbl_Collections[Member], ROW() - 64), "")</f>
        <v/>
      </c>
      <c r="D74" s="33">
        <f>IFERROR(INDEX(tbl_Collections[Partial Payment], ROW() - 64), 0)</f>
        <v/>
      </c>
      <c r="E74" s="33">
        <f>IFERROR(INDEX(tbl_Collections[Extra Contribution], ROW() - 64), 0)</f>
        <v/>
      </c>
      <c r="F74" s="33">
        <f>IFERROR(INDEX(tbl_Collections[Total Paid], ROW() - 64), 0)</f>
        <v/>
      </c>
      <c r="G74" s="35">
        <f>IFERROR(INDEX(tbl_Collections[Payment Date], ROW() - 64), "")</f>
        <v/>
      </c>
    </row>
    <row r="75" ht="18" customHeight="1">
      <c r="B75" s="28">
        <f>IFERROR(INDEX(tbl_Collections[Month], ROW() - 64), "")</f>
        <v/>
      </c>
      <c r="C75" s="29">
        <f>IFERROR(INDEX(tbl_Collections[Member], ROW() - 64), "")</f>
        <v/>
      </c>
      <c r="D75" s="30">
        <f>IFERROR(INDEX(tbl_Collections[Partial Payment], ROW() - 64), 0)</f>
        <v/>
      </c>
      <c r="E75" s="30">
        <f>IFERROR(INDEX(tbl_Collections[Extra Contribution], ROW() - 64), 0)</f>
        <v/>
      </c>
      <c r="F75" s="30">
        <f>IFERROR(INDEX(tbl_Collections[Total Paid], ROW() - 64), 0)</f>
        <v/>
      </c>
      <c r="G75" s="34">
        <f>IFERROR(INDEX(tbl_Collections[Payment Date], ROW() - 64), "")</f>
        <v/>
      </c>
    </row>
    <row r="76" ht="18" customHeight="1">
      <c r="B76" s="31">
        <f>IFERROR(INDEX(tbl_Collections[Month], ROW() - 64), "")</f>
        <v/>
      </c>
      <c r="C76" s="32">
        <f>IFERROR(INDEX(tbl_Collections[Member], ROW() - 64), "")</f>
        <v/>
      </c>
      <c r="D76" s="33">
        <f>IFERROR(INDEX(tbl_Collections[Partial Payment], ROW() - 64), 0)</f>
        <v/>
      </c>
      <c r="E76" s="33">
        <f>IFERROR(INDEX(tbl_Collections[Extra Contribution], ROW() - 64), 0)</f>
        <v/>
      </c>
      <c r="F76" s="33">
        <f>IFERROR(INDEX(tbl_Collections[Total Paid], ROW() - 64), 0)</f>
        <v/>
      </c>
      <c r="G76" s="35">
        <f>IFERROR(INDEX(tbl_Collections[Payment Date], ROW() - 64), "")</f>
        <v/>
      </c>
    </row>
    <row r="77" ht="15" customHeight="1"/>
    <row r="78" ht="24" customHeight="1">
      <c r="B78" s="26" t="inlineStr">
        <is>
          <t>6. MISCELLANEOUS EXPENSE MASTER LOG REPORT</t>
        </is>
      </c>
    </row>
    <row r="79" ht="24" customHeight="1">
      <c r="B79" s="27" t="inlineStr">
        <is>
          <t>Expense ID</t>
        </is>
      </c>
      <c r="C79" s="27" t="inlineStr">
        <is>
          <t>Date</t>
        </is>
      </c>
      <c r="D79" s="27" t="inlineStr">
        <is>
          <t>Category</t>
        </is>
      </c>
      <c r="E79" s="27" t="inlineStr">
        <is>
          <t>Description</t>
        </is>
      </c>
      <c r="F79" s="27" t="inlineStr">
        <is>
          <t>Amount</t>
        </is>
      </c>
      <c r="G79" s="27" t="inlineStr">
        <is>
          <t>Paid To</t>
        </is>
      </c>
    </row>
    <row r="80" ht="18" customHeight="1">
      <c r="B80" s="31">
        <f>IFERROR(INDEX(tbl_ExpenseHistory[Expense ID], ROW() - 79), "")</f>
        <v/>
      </c>
      <c r="C80" s="35">
        <f>IFERROR(INDEX(tbl_ExpenseHistory[Date], ROW() - 79), "")</f>
        <v/>
      </c>
      <c r="D80" s="31">
        <f>IFERROR(INDEX(tbl_ExpenseHistory[Category], ROW() - 79), "")</f>
        <v/>
      </c>
      <c r="E80" s="32">
        <f>IFERROR(INDEX(tbl_ExpenseHistory[Description], ROW() - 79), "")</f>
        <v/>
      </c>
      <c r="F80" s="33">
        <f>IFERROR(INDEX(tbl_ExpenseHistory[Amount (LKR)], ROW() - 79), 0)</f>
        <v/>
      </c>
      <c r="G80" s="32">
        <f>IFERROR(INDEX(tbl_ExpenseHistory[Paid To], ROW() - 79), "")</f>
        <v/>
      </c>
    </row>
    <row r="81" ht="18" customHeight="1">
      <c r="B81" s="28">
        <f>IFERROR(INDEX(tbl_ExpenseHistory[Expense ID], ROW() - 79), "")</f>
        <v/>
      </c>
      <c r="C81" s="34">
        <f>IFERROR(INDEX(tbl_ExpenseHistory[Date], ROW() - 79), "")</f>
        <v/>
      </c>
      <c r="D81" s="28">
        <f>IFERROR(INDEX(tbl_ExpenseHistory[Category], ROW() - 79), "")</f>
        <v/>
      </c>
      <c r="E81" s="29">
        <f>IFERROR(INDEX(tbl_ExpenseHistory[Description], ROW() - 79), "")</f>
        <v/>
      </c>
      <c r="F81" s="30">
        <f>IFERROR(INDEX(tbl_ExpenseHistory[Amount (LKR)], ROW() - 79), 0)</f>
        <v/>
      </c>
      <c r="G81" s="29">
        <f>IFERROR(INDEX(tbl_ExpenseHistory[Paid To], ROW() - 79), "")</f>
        <v/>
      </c>
    </row>
    <row r="82" ht="18" customHeight="1">
      <c r="B82" s="31">
        <f>IFERROR(INDEX(tbl_ExpenseHistory[Expense ID], ROW() - 79), "")</f>
        <v/>
      </c>
      <c r="C82" s="35">
        <f>IFERROR(INDEX(tbl_ExpenseHistory[Date], ROW() - 79), "")</f>
        <v/>
      </c>
      <c r="D82" s="31">
        <f>IFERROR(INDEX(tbl_ExpenseHistory[Category], ROW() - 79), "")</f>
        <v/>
      </c>
      <c r="E82" s="32">
        <f>IFERROR(INDEX(tbl_ExpenseHistory[Description], ROW() - 79), "")</f>
        <v/>
      </c>
      <c r="F82" s="33">
        <f>IFERROR(INDEX(tbl_ExpenseHistory[Amount (LKR)], ROW() - 79), 0)</f>
        <v/>
      </c>
      <c r="G82" s="32">
        <f>IFERROR(INDEX(tbl_ExpenseHistory[Paid To], ROW() - 79), "")</f>
        <v/>
      </c>
    </row>
    <row r="83" ht="18" customHeight="1">
      <c r="B83" s="28">
        <f>IFERROR(INDEX(tbl_ExpenseHistory[Expense ID], ROW() - 79), "")</f>
        <v/>
      </c>
      <c r="C83" s="34">
        <f>IFERROR(INDEX(tbl_ExpenseHistory[Date], ROW() - 79), "")</f>
        <v/>
      </c>
      <c r="D83" s="28">
        <f>IFERROR(INDEX(tbl_ExpenseHistory[Category], ROW() - 79), "")</f>
        <v/>
      </c>
      <c r="E83" s="29">
        <f>IFERROR(INDEX(tbl_ExpenseHistory[Description], ROW() - 79), "")</f>
        <v/>
      </c>
      <c r="F83" s="30">
        <f>IFERROR(INDEX(tbl_ExpenseHistory[Amount (LKR)], ROW() - 79), 0)</f>
        <v/>
      </c>
      <c r="G83" s="29">
        <f>IFERROR(INDEX(tbl_ExpenseHistory[Paid To], ROW() - 79), "")</f>
        <v/>
      </c>
    </row>
    <row r="84" ht="18" customHeight="1">
      <c r="B84" s="31">
        <f>IFERROR(INDEX(tbl_ExpenseHistory[Expense ID], ROW() - 79), "")</f>
        <v/>
      </c>
      <c r="C84" s="35">
        <f>IFERROR(INDEX(tbl_ExpenseHistory[Date], ROW() - 79), "")</f>
        <v/>
      </c>
      <c r="D84" s="31">
        <f>IFERROR(INDEX(tbl_ExpenseHistory[Category], ROW() - 79), "")</f>
        <v/>
      </c>
      <c r="E84" s="32">
        <f>IFERROR(INDEX(tbl_ExpenseHistory[Description], ROW() - 79), "")</f>
        <v/>
      </c>
      <c r="F84" s="33">
        <f>IFERROR(INDEX(tbl_ExpenseHistory[Amount (LKR)], ROW() - 79), 0)</f>
        <v/>
      </c>
      <c r="G84" s="32">
        <f>IFERROR(INDEX(tbl_ExpenseHistory[Paid To], ROW() - 79), "")</f>
        <v/>
      </c>
    </row>
    <row r="85" ht="18" customHeight="1">
      <c r="B85" s="28">
        <f>IFERROR(INDEX(tbl_ExpenseHistory[Expense ID], ROW() - 79), "")</f>
        <v/>
      </c>
      <c r="C85" s="34">
        <f>IFERROR(INDEX(tbl_ExpenseHistory[Date], ROW() - 79), "")</f>
        <v/>
      </c>
      <c r="D85" s="28">
        <f>IFERROR(INDEX(tbl_ExpenseHistory[Category], ROW() - 79), "")</f>
        <v/>
      </c>
      <c r="E85" s="29">
        <f>IFERROR(INDEX(tbl_ExpenseHistory[Description], ROW() - 79), "")</f>
        <v/>
      </c>
      <c r="F85" s="30">
        <f>IFERROR(INDEX(tbl_ExpenseHistory[Amount (LKR)], ROW() - 79), 0)</f>
        <v/>
      </c>
      <c r="G85" s="29">
        <f>IFERROR(INDEX(tbl_ExpenseHistory[Paid To], ROW() - 79), "")</f>
        <v/>
      </c>
    </row>
    <row r="86" ht="18" customHeight="1">
      <c r="B86" s="31">
        <f>IFERROR(INDEX(tbl_ExpenseHistory[Expense ID], ROW() - 79), "")</f>
        <v/>
      </c>
      <c r="C86" s="35">
        <f>IFERROR(INDEX(tbl_ExpenseHistory[Date], ROW() - 79), "")</f>
        <v/>
      </c>
      <c r="D86" s="31">
        <f>IFERROR(INDEX(tbl_ExpenseHistory[Category], ROW() - 79), "")</f>
        <v/>
      </c>
      <c r="E86" s="32">
        <f>IFERROR(INDEX(tbl_ExpenseHistory[Description], ROW() - 79), "")</f>
        <v/>
      </c>
      <c r="F86" s="33">
        <f>IFERROR(INDEX(tbl_ExpenseHistory[Amount (LKR)], ROW() - 79), 0)</f>
        <v/>
      </c>
      <c r="G86" s="32">
        <f>IFERROR(INDEX(tbl_ExpenseHistory[Paid To], ROW() - 79), "")</f>
        <v/>
      </c>
    </row>
    <row r="87" ht="18" customHeight="1">
      <c r="B87" s="28">
        <f>IFERROR(INDEX(tbl_ExpenseHistory[Expense ID], ROW() - 79), "")</f>
        <v/>
      </c>
      <c r="C87" s="34">
        <f>IFERROR(INDEX(tbl_ExpenseHistory[Date], ROW() - 79), "")</f>
        <v/>
      </c>
      <c r="D87" s="28">
        <f>IFERROR(INDEX(tbl_ExpenseHistory[Category], ROW() - 79), "")</f>
        <v/>
      </c>
      <c r="E87" s="29">
        <f>IFERROR(INDEX(tbl_ExpenseHistory[Description], ROW() - 79), "")</f>
        <v/>
      </c>
      <c r="F87" s="30">
        <f>IFERROR(INDEX(tbl_ExpenseHistory[Amount (LKR)], ROW() - 79), 0)</f>
        <v/>
      </c>
      <c r="G87" s="29">
        <f>IFERROR(INDEX(tbl_ExpenseHistory[Paid To], ROW() - 79), "")</f>
        <v/>
      </c>
    </row>
    <row r="88" ht="18" customHeight="1">
      <c r="B88" s="31">
        <f>IFERROR(INDEX(tbl_ExpenseHistory[Expense ID], ROW() - 79), "")</f>
        <v/>
      </c>
      <c r="C88" s="35">
        <f>IFERROR(INDEX(tbl_ExpenseHistory[Date], ROW() - 79), "")</f>
        <v/>
      </c>
      <c r="D88" s="31">
        <f>IFERROR(INDEX(tbl_ExpenseHistory[Category], ROW() - 79), "")</f>
        <v/>
      </c>
      <c r="E88" s="32">
        <f>IFERROR(INDEX(tbl_ExpenseHistory[Description], ROW() - 79), "")</f>
        <v/>
      </c>
      <c r="F88" s="33">
        <f>IFERROR(INDEX(tbl_ExpenseHistory[Amount (LKR)], ROW() - 79), 0)</f>
        <v/>
      </c>
      <c r="G88" s="32">
        <f>IFERROR(INDEX(tbl_ExpenseHistory[Paid To], ROW() - 79), "")</f>
        <v/>
      </c>
    </row>
    <row r="89" ht="18" customHeight="1">
      <c r="B89" s="28">
        <f>IFERROR(INDEX(tbl_ExpenseHistory[Expense ID], ROW() - 79), "")</f>
        <v/>
      </c>
      <c r="C89" s="34">
        <f>IFERROR(INDEX(tbl_ExpenseHistory[Date], ROW() - 79), "")</f>
        <v/>
      </c>
      <c r="D89" s="28">
        <f>IFERROR(INDEX(tbl_ExpenseHistory[Category], ROW() - 79), "")</f>
        <v/>
      </c>
      <c r="E89" s="29">
        <f>IFERROR(INDEX(tbl_ExpenseHistory[Description], ROW() - 79), "")</f>
        <v/>
      </c>
      <c r="F89" s="30">
        <f>IFERROR(INDEX(tbl_ExpenseHistory[Amount (LKR)], ROW() - 79), 0)</f>
        <v/>
      </c>
      <c r="G89" s="29">
        <f>IFERROR(INDEX(tbl_ExpenseHistory[Paid To], ROW() - 79), "")</f>
        <v/>
      </c>
    </row>
    <row r="90" ht="18" customHeight="1">
      <c r="B90" s="31">
        <f>IFERROR(INDEX(tbl_ExpenseHistory[Expense ID], ROW() - 79), "")</f>
        <v/>
      </c>
      <c r="C90" s="35">
        <f>IFERROR(INDEX(tbl_ExpenseHistory[Date], ROW() - 79), "")</f>
        <v/>
      </c>
      <c r="D90" s="31">
        <f>IFERROR(INDEX(tbl_ExpenseHistory[Category], ROW() - 79), "")</f>
        <v/>
      </c>
      <c r="E90" s="32">
        <f>IFERROR(INDEX(tbl_ExpenseHistory[Description], ROW() - 79), "")</f>
        <v/>
      </c>
      <c r="F90" s="33">
        <f>IFERROR(INDEX(tbl_ExpenseHistory[Amount (LKR)], ROW() - 79), 0)</f>
        <v/>
      </c>
      <c r="G90" s="32">
        <f>IFERROR(INDEX(tbl_ExpenseHistory[Paid To], ROW() - 79), "")</f>
        <v/>
      </c>
    </row>
    <row r="91" ht="15" customHeight="1"/>
    <row r="92"/>
    <row r="93"/>
    <row r="94"/>
    <row r="95"/>
    <row r="96"/>
    <row r="97"/>
    <row r="98"/>
    <row r="99"/>
    <row r="10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B3:G3"/>
    <mergeCell ref="B63:G63"/>
    <mergeCell ref="B1:G1"/>
    <mergeCell ref="B18:G18"/>
    <mergeCell ref="B48:G48"/>
    <mergeCell ref="B78:G78"/>
    <mergeCell ref="B33:G33"/>
  </mergeCells>
  <pageMargins left="0.5" right="0.5" top="0.75" bottom="0.75" header="0.5" footer="0.5"/>
  <pageSetup orientation="portrait" paperSize="9" fitToHeight="0" fitToWidth="1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Z100"/>
  <sheetViews>
    <sheetView showGridLines="1" workbookViewId="0">
      <selection activeCell="A1" sqref="A1"/>
    </sheetView>
  </sheetViews>
  <sheetFormatPr baseColWidth="8" defaultRowHeight="15"/>
  <cols>
    <col width="12" customWidth="1" min="2" max="2"/>
    <col width="25" customWidth="1" min="3" max="3"/>
    <col width="20" customWidth="1" min="4" max="4"/>
    <col width="45" customWidth="1" min="5" max="5"/>
  </cols>
  <sheetData>
    <row r="1" ht="40" customHeight="1">
      <c r="B1" s="1" t="inlineStr">
        <is>
          <t>SYSTEM VARIABLES &amp; CONFIGURATION SETTINGS</t>
        </is>
      </c>
    </row>
    <row r="2" ht="24" customHeight="1">
      <c r="B2" s="2" t="inlineStr">
        <is>
          <t>Define billing parameters, currency units, roommate slots, and business rules</t>
        </is>
      </c>
    </row>
    <row r="3" ht="15" customHeight="1"/>
    <row r="4" ht="26" customHeight="1">
      <c r="B4" s="7" t="inlineStr">
        <is>
          <t>Setting_ID</t>
        </is>
      </c>
      <c r="C4" s="7" t="inlineStr">
        <is>
          <t>Parameter_Name</t>
        </is>
      </c>
      <c r="D4" s="7" t="inlineStr">
        <is>
          <t>Setting_Value</t>
        </is>
      </c>
      <c r="E4" s="7" t="inlineStr">
        <is>
          <t>Description</t>
        </is>
      </c>
    </row>
    <row r="5" ht="20" customHeight="1">
      <c r="B5" s="14" t="inlineStr">
        <is>
          <t>SET001</t>
        </is>
      </c>
      <c r="C5" s="9" t="inlineStr">
        <is>
          <t>Currency</t>
        </is>
      </c>
      <c r="D5" s="37" t="inlineStr">
        <is>
          <t>LKR</t>
        </is>
      </c>
      <c r="E5" s="9" t="inlineStr">
        <is>
          <t>Base currency unit for boarding payments</t>
        </is>
      </c>
    </row>
    <row r="6" ht="20" customHeight="1">
      <c r="B6" s="15" t="inlineStr">
        <is>
          <t>SET002</t>
        </is>
      </c>
      <c r="C6" s="12" t="inlineStr">
        <is>
          <t>Default Monthly Contribution</t>
        </is>
      </c>
      <c r="D6" s="49" t="n">
        <v>1000</v>
      </c>
      <c r="E6" s="12" t="inlineStr">
        <is>
          <t>Default monthly fee per roommate</t>
        </is>
      </c>
    </row>
    <row r="7" ht="20" customHeight="1">
      <c r="B7" s="14" t="inlineStr">
        <is>
          <t>SET003</t>
        </is>
      </c>
      <c r="C7" s="9" t="inlineStr">
        <is>
          <t>Financial Year</t>
        </is>
      </c>
      <c r="D7" s="50" t="n">
        <v>2026</v>
      </c>
      <c r="E7" s="9" t="inlineStr">
        <is>
          <t>Current financial operational year</t>
        </is>
      </c>
    </row>
    <row r="8" ht="20" customHeight="1">
      <c r="B8" s="15" t="inlineStr">
        <is>
          <t>SET004</t>
        </is>
      </c>
      <c r="C8" s="12" t="inlineStr">
        <is>
          <t>Start Month</t>
        </is>
      </c>
      <c r="D8" s="40" t="inlineStr">
        <is>
          <t>April</t>
        </is>
      </c>
      <c r="E8" s="12" t="inlineStr">
        <is>
          <t>Month marking the start of the financial year</t>
        </is>
      </c>
    </row>
    <row r="9" ht="20" customHeight="1">
      <c r="B9" s="14" t="inlineStr">
        <is>
          <t>SET005</t>
        </is>
      </c>
      <c r="C9" s="9" t="inlineStr">
        <is>
          <t>Maximum Members</t>
        </is>
      </c>
      <c r="D9" s="50" t="n">
        <v>8</v>
      </c>
      <c r="E9" s="9" t="inlineStr">
        <is>
          <t>Maximum capacity of active roommates</t>
        </is>
      </c>
    </row>
    <row r="10" ht="20" customHeight="1">
      <c r="B10" s="15" t="inlineStr">
        <is>
          <t>SET006</t>
        </is>
      </c>
      <c r="C10" s="12" t="inlineStr">
        <is>
          <t>Theme</t>
        </is>
      </c>
      <c r="D10" s="40" t="inlineStr">
        <is>
          <t>Blue &amp; White</t>
        </is>
      </c>
      <c r="E10" s="12" t="inlineStr">
        <is>
          <t>Color palette and visual theme</t>
        </is>
      </c>
    </row>
    <row r="11" ht="20" customHeight="1">
      <c r="B11" s="14" t="n"/>
      <c r="C11" s="9" t="n"/>
      <c r="D11" s="9" t="n"/>
      <c r="E11" s="9" t="n"/>
    </row>
    <row r="12" ht="20" customHeight="1">
      <c r="B12" s="15" t="n"/>
      <c r="C12" s="12" t="n"/>
      <c r="D12" s="12" t="n"/>
      <c r="E12" s="12" t="n"/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B1:E1"/>
    <mergeCell ref="B2:E2"/>
  </mergeCells>
  <pageMargins left="0.5" right="0.5" top="0.75" bottom="0.75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Z10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B1" s="51" t="inlineStr">
        <is>
          <t>BOARDING HOUSE UTILITY SYSTEM v2.0 - OPERATOR USER MANUAL</t>
        </is>
      </c>
    </row>
    <row r="2" ht="15" customHeight="1"/>
    <row r="3" ht="24" customHeight="1">
      <c r="B3" s="26" t="inlineStr">
        <is>
          <t>1. SYSTEM INITIALIZATION &amp; REGISTRATION</t>
        </is>
      </c>
    </row>
    <row r="4" ht="18" customHeight="1">
      <c r="B4" s="52" t="inlineStr">
        <is>
          <t>1.1 Configuration Variables</t>
        </is>
      </c>
      <c r="C4" s="4" t="n"/>
      <c r="D4" s="4" t="n"/>
      <c r="E4" s="4" t="n"/>
      <c r="F4" s="4" t="n"/>
      <c r="G4" s="4" t="n"/>
    </row>
    <row r="5" ht="28" customHeight="1">
      <c r="B5" s="4" t="n"/>
      <c r="C5" s="53" t="inlineStr">
        <is>
          <t>Navigate to the Settings tab to set the Default Monthly Contribution, Financial Year, and Currency (defaults to LKR). Values propagate workbook-wide.</t>
        </is>
      </c>
      <c r="D5" s="4" t="n"/>
      <c r="E5" s="4" t="n"/>
      <c r="F5" s="4" t="n"/>
      <c r="G5" s="4" t="n"/>
    </row>
    <row r="6"/>
    <row r="7" ht="18" customHeight="1">
      <c r="B7" s="52" t="inlineStr">
        <is>
          <t>1.2 Roommate Registry</t>
        </is>
      </c>
      <c r="C7" s="4" t="n"/>
      <c r="D7" s="4" t="n"/>
      <c r="E7" s="4" t="n"/>
      <c r="F7" s="4" t="n"/>
      <c r="G7" s="4" t="n"/>
    </row>
    <row r="8" ht="28" customHeight="1">
      <c r="B8" s="4" t="n"/>
      <c r="C8" s="53" t="inlineStr">
        <is>
          <t>Add roommate profiles on the Members sheet. Enter their Full Name, Room Number, Phone, Status (Active/Inactive), and dates. Active status controls monthly splits.</t>
        </is>
      </c>
      <c r="D8" s="4" t="n"/>
      <c r="E8" s="4" t="n"/>
      <c r="F8" s="4" t="n"/>
      <c r="G8" s="4" t="n"/>
    </row>
    <row r="9"/>
    <row r="10" ht="24" customHeight="1">
      <c r="B10" s="26" t="inlineStr">
        <is>
          <t>2. OPERATIONS &amp; DATA ENTRY WORKFLOW</t>
        </is>
      </c>
    </row>
    <row r="11" ht="18" customHeight="1">
      <c r="B11" s="52" t="inlineStr">
        <is>
          <t>2.1 Logging Collections</t>
        </is>
      </c>
      <c r="C11" s="4" t="n"/>
      <c r="D11" s="4" t="n"/>
      <c r="E11" s="4" t="n"/>
      <c r="F11" s="4" t="n"/>
      <c r="G11" s="4" t="n"/>
    </row>
    <row r="12" ht="28" customHeight="1">
      <c r="B12" s="4" t="n"/>
      <c r="C12" s="53" t="inlineStr">
        <is>
          <t>Record monthly rents and extra payments in Monthly_Collections. The system auto-calculates totals and checks if payment dates occur after the 10th (Late status).</t>
        </is>
      </c>
      <c r="D12" s="4" t="n"/>
      <c r="E12" s="4" t="n"/>
      <c r="F12" s="4" t="n"/>
      <c r="G12" s="4" t="n"/>
    </row>
    <row r="13"/>
    <row r="14" ht="18" customHeight="1">
      <c r="B14" s="52" t="inlineStr">
        <is>
          <t>2.2 Recording Monthly Utility Bills</t>
        </is>
      </c>
      <c r="C14" s="4" t="n"/>
      <c r="D14" s="4" t="n"/>
      <c r="E14" s="4" t="n"/>
      <c r="F14" s="4" t="n"/>
      <c r="G14" s="4" t="n"/>
    </row>
    <row r="15" ht="28" customHeight="1">
      <c r="B15" s="4" t="n"/>
      <c r="C15" s="53" t="inlineStr">
        <is>
          <t>Log Water, Electricity, WiFi, Gas, and Cleaning costs in Utility_Bills. Total expenses calculate dynamically and update Dashboard graphs.</t>
        </is>
      </c>
      <c r="D15" s="4" t="n"/>
      <c r="E15" s="4" t="n"/>
      <c r="F15" s="4" t="n"/>
      <c r="G15" s="4" t="n"/>
    </row>
    <row r="16"/>
    <row r="17" ht="18" customHeight="1">
      <c r="B17" s="52" t="inlineStr">
        <is>
          <t>2.3 Transactional Expense History</t>
        </is>
      </c>
      <c r="C17" s="4" t="n"/>
      <c r="D17" s="4" t="n"/>
      <c r="E17" s="4" t="n"/>
      <c r="F17" s="4" t="n"/>
      <c r="G17" s="4" t="n"/>
    </row>
    <row r="18" ht="28" customHeight="1">
      <c r="B18" s="4" t="n"/>
      <c r="C18" s="53" t="inlineStr">
        <is>
          <t>Log miscellaneous costs (maintenance, repairs, supplies) in Expense_History. The Month column calculates automatically based on Date.</t>
        </is>
      </c>
      <c r="D18" s="4" t="n"/>
      <c r="E18" s="4" t="n"/>
      <c r="F18" s="4" t="n"/>
      <c r="G18" s="4" t="n"/>
    </row>
    <row r="19" ht="24" customHeight="1">
      <c r="B19" s="26" t="inlineStr">
        <is>
          <t>3. FINANCE DASHBOARDS &amp; ANALYTICS</t>
        </is>
      </c>
    </row>
    <row r="20" ht="18" customHeight="1">
      <c r="B20" s="52" t="inlineStr">
        <is>
          <t>3.1 Core Dashboard</t>
        </is>
      </c>
      <c r="C20" s="4" t="n"/>
      <c r="D20" s="4" t="n"/>
      <c r="E20" s="4" t="n"/>
      <c r="F20" s="4" t="n"/>
      <c r="G20" s="4" t="n"/>
    </row>
    <row r="21" ht="28" customHeight="1">
      <c r="B21" s="4" t="n"/>
      <c r="C21" s="53" t="inlineStr">
        <is>
          <t>Open the Dashboard sheet to view high-level collections, outstanding balances, unpaid utility bills count, and cash flows. 6 dynamic trend charts are plotted.</t>
        </is>
      </c>
      <c r="D21" s="4" t="n"/>
      <c r="E21" s="4" t="n"/>
      <c r="F21" s="4" t="n"/>
      <c r="G21" s="4" t="n"/>
    </row>
    <row r="22"/>
    <row r="23" ht="18" customHeight="1">
      <c r="B23" s="52" t="inlineStr">
        <is>
          <t>3.2 Performance Analytics</t>
        </is>
      </c>
      <c r="C23" s="4" t="n"/>
      <c r="D23" s="4" t="n"/>
      <c r="E23" s="4" t="n"/>
      <c r="F23" s="4" t="n"/>
      <c r="G23" s="4" t="n"/>
    </row>
    <row r="24" ht="28" customHeight="1">
      <c r="B24" s="4" t="n"/>
      <c r="C24" s="53" t="inlineStr">
        <is>
          <t>Open the Analytics sheet to find Highest, Lowest, and Average Utility Bills, alongside an automated payment ledger comparison chart for each roommate.</t>
        </is>
      </c>
      <c r="D24" s="4" t="n"/>
      <c r="E24" s="4" t="n"/>
      <c r="F24" s="4" t="n"/>
      <c r="G24" s="4" t="n"/>
    </row>
    <row r="25"/>
    <row r="26"/>
    <row r="27" ht="24" customHeight="1">
      <c r="B27" s="26" t="inlineStr">
        <is>
          <t>4. PRINTING &amp; DATA SECURITY</t>
        </is>
      </c>
    </row>
    <row r="28" ht="18" customHeight="1">
      <c r="B28" s="52" t="inlineStr">
        <is>
          <t>4.1 Exporting Reports to PDF</t>
        </is>
      </c>
      <c r="C28" s="4" t="n"/>
      <c r="D28" s="4" t="n"/>
      <c r="E28" s="4" t="n"/>
      <c r="F28" s="4" t="n"/>
      <c r="G28" s="4" t="n"/>
    </row>
    <row r="29" ht="28" customHeight="1">
      <c r="B29" s="4" t="n"/>
      <c r="C29" s="53" t="inlineStr">
        <is>
          <t>Go to the Reports tab. It aggregates 6 printable reports (Collections, Utilities, Outstanding, Yearly Summary, Roommate Statement, and Expense Log). Ready to print to A4.</t>
        </is>
      </c>
      <c r="D29" s="4" t="n"/>
      <c r="E29" s="4" t="n"/>
      <c r="F29" s="4" t="n"/>
      <c r="G29" s="4" t="n"/>
    </row>
    <row r="30"/>
    <row r="31" ht="18" customHeight="1">
      <c r="B31" s="52" t="inlineStr">
        <is>
          <t>4.2 Cell Locks &amp; Sheet Protection</t>
        </is>
      </c>
      <c r="C31" s="4" t="n"/>
      <c r="D31" s="4" t="n"/>
      <c r="E31" s="4" t="n"/>
      <c r="F31" s="4" t="n"/>
      <c r="G31" s="4" t="n"/>
    </row>
    <row r="32" ht="28" customHeight="1">
      <c r="B32" s="4" t="n"/>
      <c r="C32" s="53" t="inlineStr">
        <is>
          <t>All workspaces are protected. Headers, KPI logic, charts, and formula columns are protected from accidental modifications. Only data entry cells are editable.</t>
        </is>
      </c>
      <c r="D32" s="4" t="n"/>
      <c r="E32" s="4" t="n"/>
      <c r="F32" s="4" t="n"/>
      <c r="G32" s="4" t="n"/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4">
    <mergeCell ref="B3:G3"/>
    <mergeCell ref="B19:G19"/>
    <mergeCell ref="C29:G29"/>
    <mergeCell ref="C21:G21"/>
    <mergeCell ref="B10:G10"/>
    <mergeCell ref="C12:G12"/>
    <mergeCell ref="C32:G32"/>
    <mergeCell ref="C24:G24"/>
    <mergeCell ref="C15:G15"/>
    <mergeCell ref="B27:G27"/>
    <mergeCell ref="B1:G1"/>
    <mergeCell ref="C5:G5"/>
    <mergeCell ref="C8:G8"/>
    <mergeCell ref="C18:G18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2026-07-17T13:15:48Z</dcterms:created>
  <dcterms:modified xsi:type="dcterms:W3CDTF">2026-07-17T17:28:58Z</dcterms:modified>
</cp:coreProperties>
</file>